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infomericsvaluation-my.sharepoint.com/personal/pratham_daya_infomerics_com/Documents/INC/"/>
    </mc:Choice>
  </mc:AlternateContent>
  <xr:revisionPtr revIDLastSave="1529" documentId="13_ncr:1_{55C23D7D-F32D-4992-97DC-CB102E5C5705}" xr6:coauthVersionLast="47" xr6:coauthVersionMax="47" xr10:uidLastSave="{68ABE274-8BC0-4717-B9EF-837B0BAC7ABD}"/>
  <bookViews>
    <workbookView xWindow="-108" yWindow="-108" windowWidth="23256" windowHeight="12456" activeTab="1" xr2:uid="{00000000-000D-0000-FFFF-FFFF00000000}"/>
  </bookViews>
  <sheets>
    <sheet name="Sheet1" sheetId="6" r:id="rId1"/>
    <sheet name="ALL" sheetId="1" r:id="rId2"/>
    <sheet name="Sheet2" sheetId="7" r:id="rId3"/>
    <sheet name="NCD" sheetId="5" r:id="rId4"/>
  </sheets>
  <definedNames>
    <definedName name="_xlnm._FilterDatabase" localSheetId="1" hidden="1">ALL!$A$1:$R$293</definedName>
    <definedName name="_xlnm._FilterDatabase" localSheetId="3" hidden="1">NCD!$A$1:$P$1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7" l="1"/>
  <c r="K2" i="7"/>
  <c r="L2" i="7"/>
  <c r="I2" i="7"/>
  <c r="A269" i="1"/>
  <c r="A244" i="1"/>
  <c r="K116" i="1"/>
  <c r="K111" i="1"/>
  <c r="K83" i="1"/>
  <c r="K120" i="1"/>
  <c r="K119" i="1"/>
  <c r="K101" i="1"/>
  <c r="K274" i="1"/>
  <c r="O1" i="1"/>
  <c r="B18" i="5"/>
  <c r="D18" i="5"/>
  <c r="E18" i="5"/>
  <c r="F18" i="5"/>
  <c r="G18" i="5"/>
  <c r="H18" i="5"/>
  <c r="I18" i="5"/>
  <c r="J18" i="5"/>
  <c r="K18" i="5"/>
  <c r="L18" i="5"/>
  <c r="M18" i="5"/>
  <c r="N18" i="5"/>
  <c r="B19" i="5"/>
  <c r="D19" i="5"/>
  <c r="E19" i="5"/>
  <c r="F19" i="5"/>
  <c r="G19" i="5"/>
  <c r="H19" i="5"/>
  <c r="I19" i="5"/>
  <c r="J19" i="5"/>
  <c r="K19" i="5"/>
  <c r="L19" i="5"/>
  <c r="M19" i="5"/>
  <c r="N19" i="5"/>
  <c r="B20" i="5"/>
  <c r="D20" i="5"/>
  <c r="E20" i="5"/>
  <c r="F20" i="5"/>
  <c r="G20" i="5"/>
  <c r="H20" i="5"/>
  <c r="I20" i="5"/>
  <c r="J20" i="5"/>
  <c r="K20" i="5"/>
  <c r="L20" i="5"/>
  <c r="M20" i="5"/>
  <c r="N20" i="5"/>
  <c r="B21" i="5"/>
  <c r="D21" i="5"/>
  <c r="E21" i="5"/>
  <c r="F21" i="5"/>
  <c r="G21" i="5"/>
  <c r="H21" i="5"/>
  <c r="I21" i="5"/>
  <c r="J21" i="5"/>
  <c r="K21" i="5"/>
  <c r="L21" i="5"/>
  <c r="M21" i="5"/>
  <c r="N21" i="5"/>
  <c r="B22" i="5"/>
  <c r="D22" i="5"/>
  <c r="E22" i="5"/>
  <c r="F22" i="5"/>
  <c r="G22" i="5"/>
  <c r="H22" i="5"/>
  <c r="I22" i="5"/>
  <c r="J22" i="5"/>
  <c r="K22" i="5"/>
  <c r="L22" i="5"/>
  <c r="M22" i="5"/>
  <c r="N22" i="5"/>
  <c r="B23" i="5"/>
  <c r="D23" i="5"/>
  <c r="E23" i="5"/>
  <c r="F23" i="5"/>
  <c r="G23" i="5"/>
  <c r="H23" i="5"/>
  <c r="I23" i="5"/>
  <c r="J23" i="5"/>
  <c r="K23" i="5"/>
  <c r="L23" i="5"/>
  <c r="M23" i="5"/>
  <c r="N23" i="5"/>
  <c r="B24" i="5"/>
  <c r="D24" i="5"/>
  <c r="E24" i="5"/>
  <c r="F24" i="5"/>
  <c r="G24" i="5"/>
  <c r="H24" i="5"/>
  <c r="I24" i="5"/>
  <c r="J24" i="5"/>
  <c r="K24" i="5"/>
  <c r="L24" i="5"/>
  <c r="M24" i="5"/>
  <c r="N24" i="5"/>
  <c r="B25" i="5"/>
  <c r="D25" i="5"/>
  <c r="E25" i="5"/>
  <c r="F25" i="5"/>
  <c r="G25" i="5"/>
  <c r="H25" i="5"/>
  <c r="I25" i="5"/>
  <c r="J25" i="5"/>
  <c r="K25" i="5"/>
  <c r="L25" i="5"/>
  <c r="M25" i="5"/>
  <c r="N25" i="5"/>
  <c r="B26" i="5"/>
  <c r="D26" i="5"/>
  <c r="E26" i="5"/>
  <c r="F26" i="5"/>
  <c r="G26" i="5"/>
  <c r="H26" i="5"/>
  <c r="I26" i="5"/>
  <c r="J26" i="5"/>
  <c r="K26" i="5"/>
  <c r="L26" i="5"/>
  <c r="M26" i="5"/>
  <c r="N26" i="5"/>
  <c r="B27" i="5"/>
  <c r="D27" i="5"/>
  <c r="E27" i="5"/>
  <c r="F27" i="5"/>
  <c r="G27" i="5"/>
  <c r="H27" i="5"/>
  <c r="I27" i="5"/>
  <c r="J27" i="5"/>
  <c r="K27" i="5"/>
  <c r="L27" i="5"/>
  <c r="M27" i="5"/>
  <c r="N27" i="5"/>
  <c r="B28" i="5"/>
  <c r="D28" i="5"/>
  <c r="E28" i="5"/>
  <c r="F28" i="5"/>
  <c r="G28" i="5"/>
  <c r="H28" i="5"/>
  <c r="I28" i="5"/>
  <c r="J28" i="5"/>
  <c r="K28" i="5"/>
  <c r="L28" i="5"/>
  <c r="M28" i="5"/>
  <c r="N28" i="5"/>
  <c r="B29" i="5"/>
  <c r="D29" i="5"/>
  <c r="E29" i="5"/>
  <c r="F29" i="5"/>
  <c r="G29" i="5"/>
  <c r="H29" i="5"/>
  <c r="I29" i="5"/>
  <c r="J29" i="5"/>
  <c r="K29" i="5"/>
  <c r="L29" i="5"/>
  <c r="M29" i="5"/>
  <c r="N29" i="5"/>
  <c r="B30" i="5"/>
  <c r="D30" i="5"/>
  <c r="E30" i="5"/>
  <c r="F30" i="5"/>
  <c r="G30" i="5"/>
  <c r="H30" i="5"/>
  <c r="I30" i="5"/>
  <c r="J30" i="5"/>
  <c r="K30" i="5"/>
  <c r="L30" i="5"/>
  <c r="M30" i="5"/>
  <c r="N30" i="5"/>
  <c r="B31" i="5"/>
  <c r="D31" i="5"/>
  <c r="E31" i="5"/>
  <c r="F31" i="5"/>
  <c r="G31" i="5"/>
  <c r="H31" i="5"/>
  <c r="I31" i="5"/>
  <c r="J31" i="5"/>
  <c r="K31" i="5"/>
  <c r="L31" i="5"/>
  <c r="M31" i="5"/>
  <c r="N31" i="5"/>
  <c r="B32" i="5"/>
  <c r="D32" i="5"/>
  <c r="E32" i="5"/>
  <c r="F32" i="5"/>
  <c r="G32" i="5"/>
  <c r="H32" i="5"/>
  <c r="I32" i="5"/>
  <c r="J32" i="5"/>
  <c r="K32" i="5"/>
  <c r="L32" i="5"/>
  <c r="M32" i="5"/>
  <c r="N32" i="5"/>
  <c r="B33" i="5"/>
  <c r="D33" i="5"/>
  <c r="E33" i="5"/>
  <c r="F33" i="5"/>
  <c r="G33" i="5"/>
  <c r="H33" i="5"/>
  <c r="I33" i="5"/>
  <c r="J33" i="5"/>
  <c r="K33" i="5"/>
  <c r="L33" i="5"/>
  <c r="M33" i="5"/>
  <c r="N33" i="5"/>
  <c r="B34" i="5"/>
  <c r="D34" i="5"/>
  <c r="E34" i="5"/>
  <c r="F34" i="5"/>
  <c r="G34" i="5"/>
  <c r="H34" i="5"/>
  <c r="I34" i="5"/>
  <c r="J34" i="5"/>
  <c r="K34" i="5"/>
  <c r="L34" i="5"/>
  <c r="M34" i="5"/>
  <c r="N34" i="5"/>
  <c r="B35" i="5"/>
  <c r="D35" i="5"/>
  <c r="E35" i="5"/>
  <c r="F35" i="5"/>
  <c r="G35" i="5"/>
  <c r="H35" i="5"/>
  <c r="I35" i="5"/>
  <c r="J35" i="5"/>
  <c r="K35" i="5"/>
  <c r="L35" i="5"/>
  <c r="M35" i="5"/>
  <c r="N35" i="5"/>
  <c r="B36" i="5"/>
  <c r="D36" i="5"/>
  <c r="E36" i="5"/>
  <c r="F36" i="5"/>
  <c r="G36" i="5"/>
  <c r="H36" i="5"/>
  <c r="I36" i="5"/>
  <c r="J36" i="5"/>
  <c r="K36" i="5"/>
  <c r="L36" i="5"/>
  <c r="M36" i="5"/>
  <c r="N36" i="5"/>
  <c r="B37" i="5"/>
  <c r="D37" i="5"/>
  <c r="E37" i="5"/>
  <c r="F37" i="5"/>
  <c r="G37" i="5"/>
  <c r="H37" i="5"/>
  <c r="I37" i="5"/>
  <c r="J37" i="5"/>
  <c r="K37" i="5"/>
  <c r="L37" i="5"/>
  <c r="M37" i="5"/>
  <c r="N37" i="5"/>
  <c r="B38" i="5"/>
  <c r="D38" i="5"/>
  <c r="E38" i="5"/>
  <c r="F38" i="5"/>
  <c r="G38" i="5"/>
  <c r="H38" i="5"/>
  <c r="I38" i="5"/>
  <c r="J38" i="5"/>
  <c r="K38" i="5"/>
  <c r="L38" i="5"/>
  <c r="M38" i="5"/>
  <c r="N38" i="5"/>
  <c r="B39" i="5"/>
  <c r="D39" i="5"/>
  <c r="E39" i="5"/>
  <c r="F39" i="5"/>
  <c r="G39" i="5"/>
  <c r="H39" i="5"/>
  <c r="I39" i="5"/>
  <c r="J39" i="5"/>
  <c r="K39" i="5"/>
  <c r="L39" i="5"/>
  <c r="M39" i="5"/>
  <c r="N39" i="5"/>
  <c r="B40" i="5"/>
  <c r="D40" i="5"/>
  <c r="E40" i="5"/>
  <c r="F40" i="5"/>
  <c r="G40" i="5"/>
  <c r="H40" i="5"/>
  <c r="I40" i="5"/>
  <c r="J40" i="5"/>
  <c r="K40" i="5"/>
  <c r="L40" i="5"/>
  <c r="M40" i="5"/>
  <c r="N40" i="5"/>
  <c r="B41" i="5"/>
  <c r="D41" i="5"/>
  <c r="E41" i="5"/>
  <c r="F41" i="5"/>
  <c r="G41" i="5"/>
  <c r="H41" i="5"/>
  <c r="I41" i="5"/>
  <c r="J41" i="5"/>
  <c r="K41" i="5"/>
  <c r="L41" i="5"/>
  <c r="M41" i="5"/>
  <c r="N41" i="5"/>
  <c r="B42" i="5"/>
  <c r="D42" i="5"/>
  <c r="E42" i="5"/>
  <c r="F42" i="5"/>
  <c r="G42" i="5"/>
  <c r="H42" i="5"/>
  <c r="I42" i="5"/>
  <c r="J42" i="5"/>
  <c r="K42" i="5"/>
  <c r="L42" i="5"/>
  <c r="M42" i="5"/>
  <c r="N42" i="5"/>
  <c r="B43" i="5"/>
  <c r="D43" i="5"/>
  <c r="E43" i="5"/>
  <c r="F43" i="5"/>
  <c r="G43" i="5"/>
  <c r="H43" i="5"/>
  <c r="I43" i="5"/>
  <c r="J43" i="5"/>
  <c r="K43" i="5"/>
  <c r="L43" i="5"/>
  <c r="M43" i="5"/>
  <c r="N43" i="5"/>
  <c r="N17" i="5"/>
  <c r="M17" i="5"/>
  <c r="L17" i="5"/>
  <c r="K17" i="5"/>
  <c r="J17" i="5"/>
  <c r="I17" i="5"/>
  <c r="H17" i="5"/>
  <c r="G17" i="5"/>
  <c r="F17" i="5"/>
  <c r="E17" i="5"/>
  <c r="D17" i="5"/>
  <c r="B17" i="5"/>
  <c r="K100" i="1"/>
  <c r="J4" i="5" s="1"/>
  <c r="K279" i="1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B4" i="5"/>
  <c r="D4" i="5"/>
  <c r="E4" i="5"/>
  <c r="F4" i="5"/>
  <c r="G4" i="5"/>
  <c r="K4" i="5"/>
  <c r="L4" i="5"/>
  <c r="M4" i="5"/>
  <c r="B44" i="5"/>
  <c r="D44" i="5"/>
  <c r="E44" i="5"/>
  <c r="F44" i="5"/>
  <c r="G44" i="5"/>
  <c r="H44" i="5"/>
  <c r="I44" i="5"/>
  <c r="J44" i="5"/>
  <c r="K44" i="5"/>
  <c r="L44" i="5"/>
  <c r="M44" i="5"/>
  <c r="B45" i="5"/>
  <c r="D45" i="5"/>
  <c r="E45" i="5"/>
  <c r="F45" i="5"/>
  <c r="G45" i="5"/>
  <c r="H45" i="5"/>
  <c r="I45" i="5"/>
  <c r="J45" i="5"/>
  <c r="K45" i="5"/>
  <c r="L45" i="5"/>
  <c r="M45" i="5"/>
  <c r="B46" i="5"/>
  <c r="D46" i="5"/>
  <c r="E46" i="5"/>
  <c r="F46" i="5"/>
  <c r="G46" i="5"/>
  <c r="H46" i="5"/>
  <c r="I46" i="5"/>
  <c r="J46" i="5"/>
  <c r="K46" i="5"/>
  <c r="L46" i="5"/>
  <c r="M46" i="5"/>
  <c r="B47" i="5"/>
  <c r="D47" i="5"/>
  <c r="E47" i="5"/>
  <c r="F47" i="5"/>
  <c r="G47" i="5"/>
  <c r="H47" i="5"/>
  <c r="I47" i="5"/>
  <c r="J47" i="5"/>
  <c r="K47" i="5"/>
  <c r="L47" i="5"/>
  <c r="M47" i="5"/>
  <c r="B48" i="5"/>
  <c r="D48" i="5"/>
  <c r="E48" i="5"/>
  <c r="F48" i="5"/>
  <c r="G48" i="5"/>
  <c r="H48" i="5"/>
  <c r="I48" i="5"/>
  <c r="J48" i="5"/>
  <c r="K48" i="5"/>
  <c r="L48" i="5"/>
  <c r="M48" i="5"/>
  <c r="B49" i="5"/>
  <c r="D49" i="5"/>
  <c r="E49" i="5"/>
  <c r="F49" i="5"/>
  <c r="G49" i="5"/>
  <c r="H49" i="5"/>
  <c r="I49" i="5"/>
  <c r="J49" i="5"/>
  <c r="K49" i="5"/>
  <c r="L49" i="5"/>
  <c r="M49" i="5"/>
  <c r="B50" i="5"/>
  <c r="D50" i="5"/>
  <c r="E50" i="5"/>
  <c r="F50" i="5"/>
  <c r="G50" i="5"/>
  <c r="H50" i="5"/>
  <c r="I50" i="5"/>
  <c r="J50" i="5"/>
  <c r="K50" i="5"/>
  <c r="L50" i="5"/>
  <c r="M50" i="5"/>
  <c r="B51" i="5"/>
  <c r="D51" i="5"/>
  <c r="E51" i="5"/>
  <c r="F51" i="5"/>
  <c r="G51" i="5"/>
  <c r="H51" i="5"/>
  <c r="I51" i="5"/>
  <c r="J51" i="5"/>
  <c r="K51" i="5"/>
  <c r="L51" i="5"/>
  <c r="M51" i="5"/>
  <c r="B52" i="5"/>
  <c r="D52" i="5"/>
  <c r="E52" i="5"/>
  <c r="F52" i="5"/>
  <c r="G52" i="5"/>
  <c r="H52" i="5"/>
  <c r="I52" i="5"/>
  <c r="J52" i="5"/>
  <c r="K52" i="5"/>
  <c r="L52" i="5"/>
  <c r="M52" i="5"/>
  <c r="B53" i="5"/>
  <c r="D53" i="5"/>
  <c r="E53" i="5"/>
  <c r="F53" i="5"/>
  <c r="G53" i="5"/>
  <c r="H53" i="5"/>
  <c r="I53" i="5"/>
  <c r="J53" i="5"/>
  <c r="K53" i="5"/>
  <c r="L53" i="5"/>
  <c r="M53" i="5"/>
  <c r="B54" i="5"/>
  <c r="D54" i="5"/>
  <c r="E54" i="5"/>
  <c r="F54" i="5"/>
  <c r="G54" i="5"/>
  <c r="H54" i="5"/>
  <c r="I54" i="5"/>
  <c r="J54" i="5"/>
  <c r="K54" i="5"/>
  <c r="L54" i="5"/>
  <c r="M54" i="5"/>
  <c r="B55" i="5"/>
  <c r="D55" i="5"/>
  <c r="E55" i="5"/>
  <c r="F55" i="5"/>
  <c r="G55" i="5"/>
  <c r="H55" i="5"/>
  <c r="I55" i="5"/>
  <c r="J55" i="5"/>
  <c r="K55" i="5"/>
  <c r="L55" i="5"/>
  <c r="M55" i="5"/>
  <c r="B56" i="5"/>
  <c r="D56" i="5"/>
  <c r="E56" i="5"/>
  <c r="F56" i="5"/>
  <c r="G56" i="5"/>
  <c r="H56" i="5"/>
  <c r="I56" i="5"/>
  <c r="J56" i="5"/>
  <c r="K56" i="5"/>
  <c r="L56" i="5"/>
  <c r="M56" i="5"/>
  <c r="B57" i="5"/>
  <c r="D57" i="5"/>
  <c r="E57" i="5"/>
  <c r="F57" i="5"/>
  <c r="G57" i="5"/>
  <c r="H57" i="5"/>
  <c r="I57" i="5"/>
  <c r="J57" i="5"/>
  <c r="K57" i="5"/>
  <c r="L57" i="5"/>
  <c r="M57" i="5"/>
  <c r="B58" i="5"/>
  <c r="D58" i="5"/>
  <c r="E58" i="5"/>
  <c r="F58" i="5"/>
  <c r="G58" i="5"/>
  <c r="H58" i="5"/>
  <c r="I58" i="5"/>
  <c r="J58" i="5"/>
  <c r="K58" i="5"/>
  <c r="L58" i="5"/>
  <c r="M58" i="5"/>
  <c r="B59" i="5"/>
  <c r="D59" i="5"/>
  <c r="E59" i="5"/>
  <c r="F59" i="5"/>
  <c r="G59" i="5"/>
  <c r="H59" i="5"/>
  <c r="I59" i="5"/>
  <c r="J59" i="5"/>
  <c r="K59" i="5"/>
  <c r="L59" i="5"/>
  <c r="M59" i="5"/>
  <c r="B60" i="5"/>
  <c r="D60" i="5"/>
  <c r="E60" i="5"/>
  <c r="F60" i="5"/>
  <c r="G60" i="5"/>
  <c r="H60" i="5"/>
  <c r="I60" i="5"/>
  <c r="J60" i="5"/>
  <c r="K60" i="5"/>
  <c r="L60" i="5"/>
  <c r="M60" i="5"/>
  <c r="B61" i="5"/>
  <c r="D61" i="5"/>
  <c r="E61" i="5"/>
  <c r="F61" i="5"/>
  <c r="G61" i="5"/>
  <c r="H61" i="5"/>
  <c r="I61" i="5"/>
  <c r="J61" i="5"/>
  <c r="K61" i="5"/>
  <c r="L61" i="5"/>
  <c r="M61" i="5"/>
  <c r="B62" i="5"/>
  <c r="D62" i="5"/>
  <c r="E62" i="5"/>
  <c r="F62" i="5"/>
  <c r="G62" i="5"/>
  <c r="H62" i="5"/>
  <c r="I62" i="5"/>
  <c r="J62" i="5"/>
  <c r="K62" i="5"/>
  <c r="L62" i="5"/>
  <c r="M62" i="5"/>
  <c r="B63" i="5"/>
  <c r="D63" i="5"/>
  <c r="E63" i="5"/>
  <c r="F63" i="5"/>
  <c r="G63" i="5"/>
  <c r="H63" i="5"/>
  <c r="I63" i="5"/>
  <c r="J63" i="5"/>
  <c r="K63" i="5"/>
  <c r="L63" i="5"/>
  <c r="M63" i="5"/>
  <c r="B64" i="5"/>
  <c r="D64" i="5"/>
  <c r="E64" i="5"/>
  <c r="F64" i="5"/>
  <c r="G64" i="5"/>
  <c r="H64" i="5"/>
  <c r="I64" i="5"/>
  <c r="J64" i="5"/>
  <c r="K64" i="5"/>
  <c r="L64" i="5"/>
  <c r="M64" i="5"/>
  <c r="B65" i="5"/>
  <c r="D65" i="5"/>
  <c r="E65" i="5"/>
  <c r="F65" i="5"/>
  <c r="G65" i="5"/>
  <c r="H65" i="5"/>
  <c r="I65" i="5"/>
  <c r="J65" i="5"/>
  <c r="K65" i="5"/>
  <c r="L65" i="5"/>
  <c r="M65" i="5"/>
  <c r="B66" i="5"/>
  <c r="D66" i="5"/>
  <c r="E66" i="5"/>
  <c r="F66" i="5"/>
  <c r="G66" i="5"/>
  <c r="H66" i="5"/>
  <c r="I66" i="5"/>
  <c r="J66" i="5"/>
  <c r="K66" i="5"/>
  <c r="L66" i="5"/>
  <c r="M66" i="5"/>
  <c r="B67" i="5"/>
  <c r="D67" i="5"/>
  <c r="E67" i="5"/>
  <c r="F67" i="5"/>
  <c r="G67" i="5"/>
  <c r="H67" i="5"/>
  <c r="I67" i="5"/>
  <c r="J67" i="5"/>
  <c r="K67" i="5"/>
  <c r="L67" i="5"/>
  <c r="M67" i="5"/>
  <c r="B68" i="5"/>
  <c r="D68" i="5"/>
  <c r="E68" i="5"/>
  <c r="F68" i="5"/>
  <c r="G68" i="5"/>
  <c r="H68" i="5"/>
  <c r="I68" i="5"/>
  <c r="J68" i="5"/>
  <c r="K68" i="5"/>
  <c r="L68" i="5"/>
  <c r="M68" i="5"/>
  <c r="B69" i="5"/>
  <c r="D69" i="5"/>
  <c r="E69" i="5"/>
  <c r="F69" i="5"/>
  <c r="G69" i="5"/>
  <c r="H69" i="5"/>
  <c r="I69" i="5"/>
  <c r="J69" i="5"/>
  <c r="K69" i="5"/>
  <c r="L69" i="5"/>
  <c r="M69" i="5"/>
  <c r="B70" i="5"/>
  <c r="D70" i="5"/>
  <c r="E70" i="5"/>
  <c r="F70" i="5"/>
  <c r="G70" i="5"/>
  <c r="H70" i="5"/>
  <c r="I70" i="5"/>
  <c r="J70" i="5"/>
  <c r="K70" i="5"/>
  <c r="L70" i="5"/>
  <c r="M70" i="5"/>
  <c r="B71" i="5"/>
  <c r="D71" i="5"/>
  <c r="E71" i="5"/>
  <c r="F71" i="5"/>
  <c r="G71" i="5"/>
  <c r="H71" i="5"/>
  <c r="I71" i="5"/>
  <c r="J71" i="5"/>
  <c r="K71" i="5"/>
  <c r="L71" i="5"/>
  <c r="M71" i="5"/>
  <c r="B72" i="5"/>
  <c r="D72" i="5"/>
  <c r="E72" i="5"/>
  <c r="F72" i="5"/>
  <c r="G72" i="5"/>
  <c r="H72" i="5"/>
  <c r="I72" i="5"/>
  <c r="J72" i="5"/>
  <c r="K72" i="5"/>
  <c r="L72" i="5"/>
  <c r="M72" i="5"/>
  <c r="B73" i="5"/>
  <c r="D73" i="5"/>
  <c r="E73" i="5"/>
  <c r="F73" i="5"/>
  <c r="G73" i="5"/>
  <c r="H73" i="5"/>
  <c r="I73" i="5"/>
  <c r="J73" i="5"/>
  <c r="K73" i="5"/>
  <c r="L73" i="5"/>
  <c r="M73" i="5"/>
  <c r="B74" i="5"/>
  <c r="D74" i="5"/>
  <c r="E74" i="5"/>
  <c r="F74" i="5"/>
  <c r="G74" i="5"/>
  <c r="H74" i="5"/>
  <c r="I74" i="5"/>
  <c r="J74" i="5"/>
  <c r="K74" i="5"/>
  <c r="L74" i="5"/>
  <c r="M74" i="5"/>
  <c r="B75" i="5"/>
  <c r="D75" i="5"/>
  <c r="E75" i="5"/>
  <c r="F75" i="5"/>
  <c r="G75" i="5"/>
  <c r="H75" i="5"/>
  <c r="I75" i="5"/>
  <c r="J75" i="5"/>
  <c r="K75" i="5"/>
  <c r="L75" i="5"/>
  <c r="M75" i="5"/>
  <c r="B76" i="5"/>
  <c r="D76" i="5"/>
  <c r="E76" i="5"/>
  <c r="F76" i="5"/>
  <c r="G76" i="5"/>
  <c r="H76" i="5"/>
  <c r="I76" i="5"/>
  <c r="J76" i="5"/>
  <c r="K76" i="5"/>
  <c r="L76" i="5"/>
  <c r="M76" i="5"/>
  <c r="B77" i="5"/>
  <c r="D77" i="5"/>
  <c r="E77" i="5"/>
  <c r="F77" i="5"/>
  <c r="G77" i="5"/>
  <c r="H77" i="5"/>
  <c r="I77" i="5"/>
  <c r="J77" i="5"/>
  <c r="K77" i="5"/>
  <c r="L77" i="5"/>
  <c r="M77" i="5"/>
  <c r="B78" i="5"/>
  <c r="D78" i="5"/>
  <c r="E78" i="5"/>
  <c r="F78" i="5"/>
  <c r="G78" i="5"/>
  <c r="H78" i="5"/>
  <c r="I78" i="5"/>
  <c r="J78" i="5"/>
  <c r="K78" i="5"/>
  <c r="L78" i="5"/>
  <c r="M78" i="5"/>
  <c r="B79" i="5"/>
  <c r="D79" i="5"/>
  <c r="E79" i="5"/>
  <c r="F79" i="5"/>
  <c r="G79" i="5"/>
  <c r="H79" i="5"/>
  <c r="I79" i="5"/>
  <c r="J79" i="5"/>
  <c r="K79" i="5"/>
  <c r="L79" i="5"/>
  <c r="M79" i="5"/>
  <c r="B80" i="5"/>
  <c r="D80" i="5"/>
  <c r="E80" i="5"/>
  <c r="F80" i="5"/>
  <c r="G80" i="5"/>
  <c r="H80" i="5"/>
  <c r="I80" i="5"/>
  <c r="J80" i="5"/>
  <c r="K80" i="5"/>
  <c r="L80" i="5"/>
  <c r="M80" i="5"/>
  <c r="B81" i="5"/>
  <c r="D81" i="5"/>
  <c r="E81" i="5"/>
  <c r="F81" i="5"/>
  <c r="G81" i="5"/>
  <c r="H81" i="5"/>
  <c r="I81" i="5"/>
  <c r="J81" i="5"/>
  <c r="K81" i="5"/>
  <c r="L81" i="5"/>
  <c r="M81" i="5"/>
  <c r="B82" i="5"/>
  <c r="D82" i="5"/>
  <c r="E82" i="5"/>
  <c r="F82" i="5"/>
  <c r="G82" i="5"/>
  <c r="H82" i="5"/>
  <c r="I82" i="5"/>
  <c r="J82" i="5"/>
  <c r="K82" i="5"/>
  <c r="L82" i="5"/>
  <c r="M82" i="5"/>
  <c r="B83" i="5"/>
  <c r="D83" i="5"/>
  <c r="E83" i="5"/>
  <c r="F83" i="5"/>
  <c r="G83" i="5"/>
  <c r="H83" i="5"/>
  <c r="I83" i="5"/>
  <c r="J83" i="5"/>
  <c r="K83" i="5"/>
  <c r="L83" i="5"/>
  <c r="M83" i="5"/>
  <c r="B84" i="5"/>
  <c r="D84" i="5"/>
  <c r="E84" i="5"/>
  <c r="F84" i="5"/>
  <c r="G84" i="5"/>
  <c r="H84" i="5"/>
  <c r="I84" i="5"/>
  <c r="J84" i="5"/>
  <c r="K84" i="5"/>
  <c r="L84" i="5"/>
  <c r="M84" i="5"/>
  <c r="B85" i="5"/>
  <c r="D85" i="5"/>
  <c r="E85" i="5"/>
  <c r="F85" i="5"/>
  <c r="G85" i="5"/>
  <c r="H85" i="5"/>
  <c r="I85" i="5"/>
  <c r="J85" i="5"/>
  <c r="K85" i="5"/>
  <c r="L85" i="5"/>
  <c r="M85" i="5"/>
  <c r="B86" i="5"/>
  <c r="D86" i="5"/>
  <c r="E86" i="5"/>
  <c r="F86" i="5"/>
  <c r="G86" i="5"/>
  <c r="H86" i="5"/>
  <c r="I86" i="5"/>
  <c r="J86" i="5"/>
  <c r="K86" i="5"/>
  <c r="L86" i="5"/>
  <c r="M86" i="5"/>
  <c r="B87" i="5"/>
  <c r="D87" i="5"/>
  <c r="E87" i="5"/>
  <c r="F87" i="5"/>
  <c r="G87" i="5"/>
  <c r="H87" i="5"/>
  <c r="I87" i="5"/>
  <c r="J87" i="5"/>
  <c r="K87" i="5"/>
  <c r="L87" i="5"/>
  <c r="M87" i="5"/>
  <c r="B88" i="5"/>
  <c r="D88" i="5"/>
  <c r="E88" i="5"/>
  <c r="F88" i="5"/>
  <c r="G88" i="5"/>
  <c r="H88" i="5"/>
  <c r="I88" i="5"/>
  <c r="J88" i="5"/>
  <c r="K88" i="5"/>
  <c r="L88" i="5"/>
  <c r="M88" i="5"/>
  <c r="B89" i="5"/>
  <c r="D89" i="5"/>
  <c r="E89" i="5"/>
  <c r="F89" i="5"/>
  <c r="G89" i="5"/>
  <c r="H89" i="5"/>
  <c r="I89" i="5"/>
  <c r="J89" i="5"/>
  <c r="K89" i="5"/>
  <c r="L89" i="5"/>
  <c r="M89" i="5"/>
  <c r="B90" i="5"/>
  <c r="D90" i="5"/>
  <c r="E90" i="5"/>
  <c r="F90" i="5"/>
  <c r="G90" i="5"/>
  <c r="H90" i="5"/>
  <c r="I90" i="5"/>
  <c r="J90" i="5"/>
  <c r="K90" i="5"/>
  <c r="L90" i="5"/>
  <c r="M90" i="5"/>
  <c r="B91" i="5"/>
  <c r="D91" i="5"/>
  <c r="E91" i="5"/>
  <c r="F91" i="5"/>
  <c r="G91" i="5"/>
  <c r="H91" i="5"/>
  <c r="I91" i="5"/>
  <c r="J91" i="5"/>
  <c r="K91" i="5"/>
  <c r="L91" i="5"/>
  <c r="M91" i="5"/>
  <c r="B92" i="5"/>
  <c r="D92" i="5"/>
  <c r="E92" i="5"/>
  <c r="F92" i="5"/>
  <c r="G92" i="5"/>
  <c r="H92" i="5"/>
  <c r="I92" i="5"/>
  <c r="J92" i="5"/>
  <c r="K92" i="5"/>
  <c r="L92" i="5"/>
  <c r="M92" i="5"/>
  <c r="B93" i="5"/>
  <c r="D93" i="5"/>
  <c r="E93" i="5"/>
  <c r="F93" i="5"/>
  <c r="G93" i="5"/>
  <c r="H93" i="5"/>
  <c r="I93" i="5"/>
  <c r="J93" i="5"/>
  <c r="K93" i="5"/>
  <c r="L93" i="5"/>
  <c r="M93" i="5"/>
  <c r="B94" i="5"/>
  <c r="D94" i="5"/>
  <c r="E94" i="5"/>
  <c r="F94" i="5"/>
  <c r="G94" i="5"/>
  <c r="H94" i="5"/>
  <c r="I94" i="5"/>
  <c r="J94" i="5"/>
  <c r="K94" i="5"/>
  <c r="L94" i="5"/>
  <c r="M94" i="5"/>
  <c r="B95" i="5"/>
  <c r="D95" i="5"/>
  <c r="E95" i="5"/>
  <c r="F95" i="5"/>
  <c r="G95" i="5"/>
  <c r="H95" i="5"/>
  <c r="I95" i="5"/>
  <c r="J95" i="5"/>
  <c r="K95" i="5"/>
  <c r="L95" i="5"/>
  <c r="M95" i="5"/>
  <c r="B96" i="5"/>
  <c r="D96" i="5"/>
  <c r="E96" i="5"/>
  <c r="F96" i="5"/>
  <c r="G96" i="5"/>
  <c r="H96" i="5"/>
  <c r="I96" i="5"/>
  <c r="J96" i="5"/>
  <c r="K96" i="5"/>
  <c r="L96" i="5"/>
  <c r="M96" i="5"/>
  <c r="B97" i="5"/>
  <c r="D97" i="5"/>
  <c r="E97" i="5"/>
  <c r="F97" i="5"/>
  <c r="G97" i="5"/>
  <c r="H97" i="5"/>
  <c r="I97" i="5"/>
  <c r="J97" i="5"/>
  <c r="K97" i="5"/>
  <c r="L97" i="5"/>
  <c r="M97" i="5"/>
  <c r="B98" i="5"/>
  <c r="D98" i="5"/>
  <c r="E98" i="5"/>
  <c r="F98" i="5"/>
  <c r="G98" i="5"/>
  <c r="H98" i="5"/>
  <c r="I98" i="5"/>
  <c r="J98" i="5"/>
  <c r="K98" i="5"/>
  <c r="L98" i="5"/>
  <c r="M98" i="5"/>
  <c r="B99" i="5"/>
  <c r="D99" i="5"/>
  <c r="E99" i="5"/>
  <c r="F99" i="5"/>
  <c r="G99" i="5"/>
  <c r="H99" i="5"/>
  <c r="I99" i="5"/>
  <c r="J99" i="5"/>
  <c r="K99" i="5"/>
  <c r="L99" i="5"/>
  <c r="M99" i="5"/>
  <c r="B100" i="5"/>
  <c r="D100" i="5"/>
  <c r="E100" i="5"/>
  <c r="F100" i="5"/>
  <c r="G100" i="5"/>
  <c r="H100" i="5"/>
  <c r="I100" i="5"/>
  <c r="J100" i="5"/>
  <c r="K100" i="5"/>
  <c r="L100" i="5"/>
  <c r="M100" i="5"/>
  <c r="B101" i="5"/>
  <c r="D101" i="5"/>
  <c r="E101" i="5"/>
  <c r="F101" i="5"/>
  <c r="G101" i="5"/>
  <c r="H101" i="5"/>
  <c r="I101" i="5"/>
  <c r="J101" i="5"/>
  <c r="K101" i="5"/>
  <c r="L101" i="5"/>
  <c r="M101" i="5"/>
  <c r="B102" i="5"/>
  <c r="D102" i="5"/>
  <c r="E102" i="5"/>
  <c r="F102" i="5"/>
  <c r="G102" i="5"/>
  <c r="H102" i="5"/>
  <c r="I102" i="5"/>
  <c r="J102" i="5"/>
  <c r="K102" i="5"/>
  <c r="L102" i="5"/>
  <c r="M102" i="5"/>
  <c r="B103" i="5"/>
  <c r="D103" i="5"/>
  <c r="E103" i="5"/>
  <c r="F103" i="5"/>
  <c r="G103" i="5"/>
  <c r="H103" i="5"/>
  <c r="I103" i="5"/>
  <c r="J103" i="5"/>
  <c r="K103" i="5"/>
  <c r="L103" i="5"/>
  <c r="M103" i="5"/>
  <c r="B104" i="5"/>
  <c r="D104" i="5"/>
  <c r="E104" i="5"/>
  <c r="F104" i="5"/>
  <c r="G104" i="5"/>
  <c r="H104" i="5"/>
  <c r="I104" i="5"/>
  <c r="J104" i="5"/>
  <c r="K104" i="5"/>
  <c r="L104" i="5"/>
  <c r="M104" i="5"/>
  <c r="B105" i="5"/>
  <c r="D105" i="5"/>
  <c r="E105" i="5"/>
  <c r="F105" i="5"/>
  <c r="G105" i="5"/>
  <c r="H105" i="5"/>
  <c r="I105" i="5"/>
  <c r="J105" i="5"/>
  <c r="K105" i="5"/>
  <c r="L105" i="5"/>
  <c r="M105" i="5"/>
  <c r="B106" i="5"/>
  <c r="D106" i="5"/>
  <c r="E106" i="5"/>
  <c r="F106" i="5"/>
  <c r="G106" i="5"/>
  <c r="H106" i="5"/>
  <c r="I106" i="5"/>
  <c r="J106" i="5"/>
  <c r="K106" i="5"/>
  <c r="L106" i="5"/>
  <c r="M106" i="5"/>
  <c r="B107" i="5"/>
  <c r="D107" i="5"/>
  <c r="E107" i="5"/>
  <c r="F107" i="5"/>
  <c r="G107" i="5"/>
  <c r="H107" i="5"/>
  <c r="I107" i="5"/>
  <c r="J107" i="5"/>
  <c r="K107" i="5"/>
  <c r="L107" i="5"/>
  <c r="M107" i="5"/>
  <c r="B108" i="5"/>
  <c r="D108" i="5"/>
  <c r="E108" i="5"/>
  <c r="F108" i="5"/>
  <c r="G108" i="5"/>
  <c r="H108" i="5"/>
  <c r="I108" i="5"/>
  <c r="J108" i="5"/>
  <c r="K108" i="5"/>
  <c r="L108" i="5"/>
  <c r="M108" i="5"/>
  <c r="B109" i="5"/>
  <c r="D109" i="5"/>
  <c r="E109" i="5"/>
  <c r="F109" i="5"/>
  <c r="G109" i="5"/>
  <c r="H109" i="5"/>
  <c r="I109" i="5"/>
  <c r="J109" i="5"/>
  <c r="K109" i="5"/>
  <c r="L109" i="5"/>
  <c r="M109" i="5"/>
  <c r="B110" i="5"/>
  <c r="D110" i="5"/>
  <c r="E110" i="5"/>
  <c r="F110" i="5"/>
  <c r="G110" i="5"/>
  <c r="H110" i="5"/>
  <c r="I110" i="5"/>
  <c r="J110" i="5"/>
  <c r="K110" i="5"/>
  <c r="L110" i="5"/>
  <c r="M110" i="5"/>
  <c r="B111" i="5"/>
  <c r="D111" i="5"/>
  <c r="E111" i="5"/>
  <c r="F111" i="5"/>
  <c r="G111" i="5"/>
  <c r="H111" i="5"/>
  <c r="I111" i="5"/>
  <c r="J111" i="5"/>
  <c r="K111" i="5"/>
  <c r="L111" i="5"/>
  <c r="M111" i="5"/>
  <c r="B112" i="5"/>
  <c r="D112" i="5"/>
  <c r="E112" i="5"/>
  <c r="F112" i="5"/>
  <c r="G112" i="5"/>
  <c r="H112" i="5"/>
  <c r="I112" i="5"/>
  <c r="J112" i="5"/>
  <c r="K112" i="5"/>
  <c r="L112" i="5"/>
  <c r="M112" i="5"/>
  <c r="B113" i="5"/>
  <c r="D113" i="5"/>
  <c r="E113" i="5"/>
  <c r="F113" i="5"/>
  <c r="G113" i="5"/>
  <c r="H113" i="5"/>
  <c r="I113" i="5"/>
  <c r="J113" i="5"/>
  <c r="K113" i="5"/>
  <c r="L113" i="5"/>
  <c r="M113" i="5"/>
  <c r="B114" i="5"/>
  <c r="D114" i="5"/>
  <c r="E114" i="5"/>
  <c r="F114" i="5"/>
  <c r="G114" i="5"/>
  <c r="H114" i="5"/>
  <c r="I114" i="5"/>
  <c r="J114" i="5"/>
  <c r="K114" i="5"/>
  <c r="L114" i="5"/>
  <c r="M114" i="5"/>
  <c r="B115" i="5"/>
  <c r="D115" i="5"/>
  <c r="E115" i="5"/>
  <c r="F115" i="5"/>
  <c r="G115" i="5"/>
  <c r="H115" i="5"/>
  <c r="I115" i="5"/>
  <c r="J115" i="5"/>
  <c r="K115" i="5"/>
  <c r="L115" i="5"/>
  <c r="M115" i="5"/>
  <c r="B116" i="5"/>
  <c r="D116" i="5"/>
  <c r="E116" i="5"/>
  <c r="F116" i="5"/>
  <c r="G116" i="5"/>
  <c r="H116" i="5"/>
  <c r="I116" i="5"/>
  <c r="J116" i="5"/>
  <c r="K116" i="5"/>
  <c r="L116" i="5"/>
  <c r="M116" i="5"/>
  <c r="B117" i="5"/>
  <c r="D117" i="5"/>
  <c r="E117" i="5"/>
  <c r="F117" i="5"/>
  <c r="G117" i="5"/>
  <c r="H117" i="5"/>
  <c r="I117" i="5"/>
  <c r="J117" i="5"/>
  <c r="K117" i="5"/>
  <c r="L117" i="5"/>
  <c r="M117" i="5"/>
  <c r="B118" i="5"/>
  <c r="D118" i="5"/>
  <c r="E118" i="5"/>
  <c r="F118" i="5"/>
  <c r="G118" i="5"/>
  <c r="H118" i="5"/>
  <c r="I118" i="5"/>
  <c r="J118" i="5"/>
  <c r="K118" i="5"/>
  <c r="L118" i="5"/>
  <c r="M118" i="5"/>
  <c r="B119" i="5"/>
  <c r="D119" i="5"/>
  <c r="E119" i="5"/>
  <c r="F119" i="5"/>
  <c r="G119" i="5"/>
  <c r="H119" i="5"/>
  <c r="I119" i="5"/>
  <c r="J119" i="5"/>
  <c r="K119" i="5"/>
  <c r="L119" i="5"/>
  <c r="M119" i="5"/>
  <c r="B120" i="5"/>
  <c r="D120" i="5"/>
  <c r="E120" i="5"/>
  <c r="F120" i="5"/>
  <c r="G120" i="5"/>
  <c r="H120" i="5"/>
  <c r="I120" i="5"/>
  <c r="J120" i="5"/>
  <c r="K120" i="5"/>
  <c r="L120" i="5"/>
  <c r="M120" i="5"/>
  <c r="B121" i="5"/>
  <c r="D121" i="5"/>
  <c r="E121" i="5"/>
  <c r="F121" i="5"/>
  <c r="G121" i="5"/>
  <c r="H121" i="5"/>
  <c r="I121" i="5"/>
  <c r="J121" i="5"/>
  <c r="K121" i="5"/>
  <c r="L121" i="5"/>
  <c r="M121" i="5"/>
  <c r="B122" i="5"/>
  <c r="D122" i="5"/>
  <c r="E122" i="5"/>
  <c r="F122" i="5"/>
  <c r="G122" i="5"/>
  <c r="H122" i="5"/>
  <c r="I122" i="5"/>
  <c r="J122" i="5"/>
  <c r="K122" i="5"/>
  <c r="L122" i="5"/>
  <c r="M122" i="5"/>
  <c r="B123" i="5"/>
  <c r="D123" i="5"/>
  <c r="E123" i="5"/>
  <c r="F123" i="5"/>
  <c r="G123" i="5"/>
  <c r="H123" i="5"/>
  <c r="I123" i="5"/>
  <c r="J123" i="5"/>
  <c r="K123" i="5"/>
  <c r="L123" i="5"/>
  <c r="M123" i="5"/>
  <c r="B124" i="5"/>
  <c r="D124" i="5"/>
  <c r="E124" i="5"/>
  <c r="F124" i="5"/>
  <c r="G124" i="5"/>
  <c r="H124" i="5"/>
  <c r="I124" i="5"/>
  <c r="J124" i="5"/>
  <c r="K124" i="5"/>
  <c r="L124" i="5"/>
  <c r="M124" i="5"/>
  <c r="B125" i="5"/>
  <c r="D125" i="5"/>
  <c r="E125" i="5"/>
  <c r="F125" i="5"/>
  <c r="G125" i="5"/>
  <c r="H125" i="5"/>
  <c r="I125" i="5"/>
  <c r="J125" i="5"/>
  <c r="K125" i="5"/>
  <c r="L125" i="5"/>
  <c r="M125" i="5"/>
  <c r="B126" i="5"/>
  <c r="D126" i="5"/>
  <c r="E126" i="5"/>
  <c r="F126" i="5"/>
  <c r="G126" i="5"/>
  <c r="H126" i="5"/>
  <c r="I126" i="5"/>
  <c r="J126" i="5"/>
  <c r="K126" i="5"/>
  <c r="L126" i="5"/>
  <c r="M126" i="5"/>
  <c r="B127" i="5"/>
  <c r="D127" i="5"/>
  <c r="E127" i="5"/>
  <c r="F127" i="5"/>
  <c r="G127" i="5"/>
  <c r="H127" i="5"/>
  <c r="I127" i="5"/>
  <c r="J127" i="5"/>
  <c r="K127" i="5"/>
  <c r="L127" i="5"/>
  <c r="M127" i="5"/>
  <c r="B128" i="5"/>
  <c r="D128" i="5"/>
  <c r="E128" i="5"/>
  <c r="F128" i="5"/>
  <c r="G128" i="5"/>
  <c r="H128" i="5"/>
  <c r="I128" i="5"/>
  <c r="J128" i="5"/>
  <c r="K128" i="5"/>
  <c r="L128" i="5"/>
  <c r="M128" i="5"/>
  <c r="B129" i="5"/>
  <c r="D129" i="5"/>
  <c r="E129" i="5"/>
  <c r="F129" i="5"/>
  <c r="G129" i="5"/>
  <c r="H129" i="5"/>
  <c r="I129" i="5"/>
  <c r="J129" i="5"/>
  <c r="K129" i="5"/>
  <c r="L129" i="5"/>
  <c r="M129" i="5"/>
  <c r="B130" i="5"/>
  <c r="D130" i="5"/>
  <c r="E130" i="5"/>
  <c r="F130" i="5"/>
  <c r="G130" i="5"/>
  <c r="H130" i="5"/>
  <c r="I130" i="5"/>
  <c r="J130" i="5"/>
  <c r="K130" i="5"/>
  <c r="L130" i="5"/>
  <c r="M130" i="5"/>
  <c r="B131" i="5"/>
  <c r="D131" i="5"/>
  <c r="E131" i="5"/>
  <c r="F131" i="5"/>
  <c r="G131" i="5"/>
  <c r="H131" i="5"/>
  <c r="I131" i="5"/>
  <c r="J131" i="5"/>
  <c r="K131" i="5"/>
  <c r="L131" i="5"/>
  <c r="M131" i="5"/>
  <c r="B132" i="5"/>
  <c r="D132" i="5"/>
  <c r="E132" i="5"/>
  <c r="F132" i="5"/>
  <c r="G132" i="5"/>
  <c r="H132" i="5"/>
  <c r="I132" i="5"/>
  <c r="J132" i="5"/>
  <c r="K132" i="5"/>
  <c r="L132" i="5"/>
  <c r="M132" i="5"/>
  <c r="B133" i="5"/>
  <c r="D133" i="5"/>
  <c r="E133" i="5"/>
  <c r="F133" i="5"/>
  <c r="G133" i="5"/>
  <c r="H133" i="5"/>
  <c r="I133" i="5"/>
  <c r="J133" i="5"/>
  <c r="K133" i="5"/>
  <c r="L133" i="5"/>
  <c r="M133" i="5"/>
  <c r="B134" i="5"/>
  <c r="D134" i="5"/>
  <c r="E134" i="5"/>
  <c r="F134" i="5"/>
  <c r="G134" i="5"/>
  <c r="H134" i="5"/>
  <c r="I134" i="5"/>
  <c r="J134" i="5"/>
  <c r="K134" i="5"/>
  <c r="L134" i="5"/>
  <c r="M134" i="5"/>
  <c r="B135" i="5"/>
  <c r="D135" i="5"/>
  <c r="E135" i="5"/>
  <c r="F135" i="5"/>
  <c r="G135" i="5"/>
  <c r="H135" i="5"/>
  <c r="I135" i="5"/>
  <c r="J135" i="5"/>
  <c r="K135" i="5"/>
  <c r="L135" i="5"/>
  <c r="M135" i="5"/>
  <c r="B136" i="5"/>
  <c r="D136" i="5"/>
  <c r="E136" i="5"/>
  <c r="F136" i="5"/>
  <c r="G136" i="5"/>
  <c r="H136" i="5"/>
  <c r="I136" i="5"/>
  <c r="J136" i="5"/>
  <c r="K136" i="5"/>
  <c r="L136" i="5"/>
  <c r="M136" i="5"/>
  <c r="B137" i="5"/>
  <c r="D137" i="5"/>
  <c r="E137" i="5"/>
  <c r="F137" i="5"/>
  <c r="G137" i="5"/>
  <c r="H137" i="5"/>
  <c r="I137" i="5"/>
  <c r="J137" i="5"/>
  <c r="K137" i="5"/>
  <c r="L137" i="5"/>
  <c r="M137" i="5"/>
  <c r="B138" i="5"/>
  <c r="D138" i="5"/>
  <c r="E138" i="5"/>
  <c r="F138" i="5"/>
  <c r="G138" i="5"/>
  <c r="H138" i="5"/>
  <c r="I138" i="5"/>
  <c r="J138" i="5"/>
  <c r="K138" i="5"/>
  <c r="L138" i="5"/>
  <c r="M138" i="5"/>
  <c r="B139" i="5"/>
  <c r="D139" i="5"/>
  <c r="E139" i="5"/>
  <c r="F139" i="5"/>
  <c r="G139" i="5"/>
  <c r="H139" i="5"/>
  <c r="I139" i="5"/>
  <c r="J139" i="5"/>
  <c r="K139" i="5"/>
  <c r="L139" i="5"/>
  <c r="M139" i="5"/>
  <c r="B140" i="5"/>
  <c r="D140" i="5"/>
  <c r="E140" i="5"/>
  <c r="F140" i="5"/>
  <c r="G140" i="5"/>
  <c r="H140" i="5"/>
  <c r="I140" i="5"/>
  <c r="J140" i="5"/>
  <c r="K140" i="5"/>
  <c r="L140" i="5"/>
  <c r="M140" i="5"/>
  <c r="B141" i="5"/>
  <c r="D141" i="5"/>
  <c r="E141" i="5"/>
  <c r="F141" i="5"/>
  <c r="G141" i="5"/>
  <c r="H141" i="5"/>
  <c r="I141" i="5"/>
  <c r="J141" i="5"/>
  <c r="K141" i="5"/>
  <c r="L141" i="5"/>
  <c r="M141" i="5"/>
  <c r="B142" i="5"/>
  <c r="D142" i="5"/>
  <c r="E142" i="5"/>
  <c r="F142" i="5"/>
  <c r="G142" i="5"/>
  <c r="H142" i="5"/>
  <c r="I142" i="5"/>
  <c r="J142" i="5"/>
  <c r="K142" i="5"/>
  <c r="L142" i="5"/>
  <c r="M142" i="5"/>
  <c r="B143" i="5"/>
  <c r="D143" i="5"/>
  <c r="E143" i="5"/>
  <c r="F143" i="5"/>
  <c r="G143" i="5"/>
  <c r="H143" i="5"/>
  <c r="I143" i="5"/>
  <c r="J143" i="5"/>
  <c r="K143" i="5"/>
  <c r="L143" i="5"/>
  <c r="M143" i="5"/>
  <c r="B144" i="5"/>
  <c r="D144" i="5"/>
  <c r="E144" i="5"/>
  <c r="F144" i="5"/>
  <c r="G144" i="5"/>
  <c r="H144" i="5"/>
  <c r="I144" i="5"/>
  <c r="J144" i="5"/>
  <c r="K144" i="5"/>
  <c r="L144" i="5"/>
  <c r="M144" i="5"/>
  <c r="B145" i="5"/>
  <c r="D145" i="5"/>
  <c r="E145" i="5"/>
  <c r="F145" i="5"/>
  <c r="G145" i="5"/>
  <c r="H145" i="5"/>
  <c r="I145" i="5"/>
  <c r="J145" i="5"/>
  <c r="K145" i="5"/>
  <c r="L145" i="5"/>
  <c r="M145" i="5"/>
  <c r="B146" i="5"/>
  <c r="D146" i="5"/>
  <c r="E146" i="5"/>
  <c r="F146" i="5"/>
  <c r="G146" i="5"/>
  <c r="H146" i="5"/>
  <c r="I146" i="5"/>
  <c r="J146" i="5"/>
  <c r="K146" i="5"/>
  <c r="L146" i="5"/>
  <c r="M146" i="5"/>
  <c r="B147" i="5"/>
  <c r="D147" i="5"/>
  <c r="E147" i="5"/>
  <c r="F147" i="5"/>
  <c r="G147" i="5"/>
  <c r="H147" i="5"/>
  <c r="I147" i="5"/>
  <c r="J147" i="5"/>
  <c r="K147" i="5"/>
  <c r="L147" i="5"/>
  <c r="M147" i="5"/>
  <c r="B148" i="5"/>
  <c r="D148" i="5"/>
  <c r="E148" i="5"/>
  <c r="F148" i="5"/>
  <c r="G148" i="5"/>
  <c r="H148" i="5"/>
  <c r="I148" i="5"/>
  <c r="J148" i="5"/>
  <c r="K148" i="5"/>
  <c r="L148" i="5"/>
  <c r="M148" i="5"/>
  <c r="B149" i="5"/>
  <c r="D149" i="5"/>
  <c r="E149" i="5"/>
  <c r="F149" i="5"/>
  <c r="G149" i="5"/>
  <c r="H149" i="5"/>
  <c r="I149" i="5"/>
  <c r="J149" i="5"/>
  <c r="K149" i="5"/>
  <c r="L149" i="5"/>
  <c r="M149" i="5"/>
  <c r="B150" i="5"/>
  <c r="D150" i="5"/>
  <c r="E150" i="5"/>
  <c r="F150" i="5"/>
  <c r="G150" i="5"/>
  <c r="H150" i="5"/>
  <c r="I150" i="5"/>
  <c r="J150" i="5"/>
  <c r="K150" i="5"/>
  <c r="L150" i="5"/>
  <c r="M150" i="5"/>
  <c r="B151" i="5"/>
  <c r="D151" i="5"/>
  <c r="E151" i="5"/>
  <c r="F151" i="5"/>
  <c r="G151" i="5"/>
  <c r="H151" i="5"/>
  <c r="I151" i="5"/>
  <c r="J151" i="5"/>
  <c r="K151" i="5"/>
  <c r="L151" i="5"/>
  <c r="M151" i="5"/>
  <c r="B152" i="5"/>
  <c r="D152" i="5"/>
  <c r="E152" i="5"/>
  <c r="F152" i="5"/>
  <c r="G152" i="5"/>
  <c r="H152" i="5"/>
  <c r="I152" i="5"/>
  <c r="J152" i="5"/>
  <c r="K152" i="5"/>
  <c r="L152" i="5"/>
  <c r="M152" i="5"/>
  <c r="B153" i="5"/>
  <c r="D153" i="5"/>
  <c r="E153" i="5"/>
  <c r="F153" i="5"/>
  <c r="G153" i="5"/>
  <c r="H153" i="5"/>
  <c r="I153" i="5"/>
  <c r="J153" i="5"/>
  <c r="K153" i="5"/>
  <c r="L153" i="5"/>
  <c r="M153" i="5"/>
  <c r="B154" i="5"/>
  <c r="D154" i="5"/>
  <c r="E154" i="5"/>
  <c r="F154" i="5"/>
  <c r="G154" i="5"/>
  <c r="H154" i="5"/>
  <c r="I154" i="5"/>
  <c r="J154" i="5"/>
  <c r="K154" i="5"/>
  <c r="L154" i="5"/>
  <c r="M154" i="5"/>
  <c r="B15" i="5"/>
  <c r="D15" i="5"/>
  <c r="E15" i="5"/>
  <c r="F15" i="5"/>
  <c r="G15" i="5"/>
  <c r="H15" i="5"/>
  <c r="I15" i="5"/>
  <c r="K15" i="5"/>
  <c r="L15" i="5"/>
  <c r="M15" i="5"/>
  <c r="K258" i="1"/>
  <c r="J15" i="5" s="1"/>
  <c r="B16" i="5"/>
  <c r="D16" i="5"/>
  <c r="E16" i="5"/>
  <c r="F16" i="5"/>
  <c r="G16" i="5"/>
  <c r="H16" i="5"/>
  <c r="I16" i="5"/>
  <c r="K16" i="5"/>
  <c r="L16" i="5"/>
  <c r="M16" i="5"/>
  <c r="N16" i="5"/>
  <c r="B14" i="5"/>
  <c r="D14" i="5"/>
  <c r="E14" i="5"/>
  <c r="F14" i="5"/>
  <c r="G14" i="5"/>
  <c r="H14" i="5"/>
  <c r="I14" i="5"/>
  <c r="K14" i="5"/>
  <c r="L14" i="5"/>
  <c r="M14" i="5"/>
  <c r="N14" i="5"/>
  <c r="K104" i="1"/>
  <c r="K237" i="1"/>
  <c r="K246" i="1"/>
  <c r="K239" i="1"/>
  <c r="K243" i="1"/>
  <c r="K240" i="1"/>
  <c r="K242" i="1"/>
  <c r="K241" i="1"/>
  <c r="K245" i="1"/>
  <c r="K238" i="1"/>
  <c r="K255" i="1"/>
  <c r="K256" i="1"/>
  <c r="K249" i="1"/>
  <c r="K251" i="1"/>
  <c r="K254" i="1"/>
  <c r="K250" i="1"/>
  <c r="K253" i="1"/>
  <c r="K248" i="1"/>
  <c r="K247" i="1"/>
  <c r="K261" i="1"/>
  <c r="K262" i="1"/>
  <c r="K263" i="1"/>
  <c r="K264" i="1"/>
  <c r="K260" i="1"/>
  <c r="K266" i="1"/>
  <c r="K267" i="1"/>
  <c r="K259" i="1"/>
  <c r="K272" i="1"/>
  <c r="K270" i="1"/>
  <c r="K273" i="1"/>
  <c r="K275" i="1"/>
  <c r="K268" i="1"/>
  <c r="K271" i="1"/>
  <c r="K128" i="1"/>
  <c r="K277" i="1"/>
  <c r="K276" i="1"/>
  <c r="K269" i="1"/>
  <c r="K265" i="1"/>
  <c r="J14" i="5" s="1"/>
  <c r="K287" i="1"/>
  <c r="K289" i="1"/>
  <c r="K281" i="1"/>
  <c r="K288" i="1"/>
  <c r="K280" i="1"/>
  <c r="K284" i="1"/>
  <c r="K283" i="1"/>
  <c r="K286" i="1"/>
  <c r="K285" i="1"/>
  <c r="K2" i="1"/>
  <c r="K3" i="1"/>
  <c r="K4" i="1"/>
  <c r="K5" i="1"/>
  <c r="K6" i="1"/>
  <c r="K278" i="1"/>
  <c r="K8" i="1"/>
  <c r="K9" i="1"/>
  <c r="K10" i="1"/>
  <c r="K7" i="1"/>
  <c r="K11" i="1"/>
  <c r="K12" i="1"/>
  <c r="K15" i="1"/>
  <c r="K13" i="1"/>
  <c r="K14" i="1"/>
  <c r="K16" i="1"/>
  <c r="K17" i="1"/>
  <c r="K18" i="1"/>
  <c r="K19" i="1"/>
  <c r="K23" i="1"/>
  <c r="K24" i="1"/>
  <c r="K20" i="1"/>
  <c r="K21" i="1"/>
  <c r="K22" i="1"/>
  <c r="K25" i="1"/>
  <c r="K26" i="1"/>
  <c r="K28" i="1"/>
  <c r="K27" i="1"/>
  <c r="K31" i="1"/>
  <c r="K29" i="1"/>
  <c r="K30" i="1"/>
  <c r="K32" i="1"/>
  <c r="K33" i="1"/>
  <c r="K34" i="1"/>
  <c r="K36" i="1"/>
  <c r="K35" i="1"/>
  <c r="K37" i="1"/>
  <c r="K38" i="1"/>
  <c r="K40" i="1"/>
  <c r="K39" i="1"/>
  <c r="K41" i="1"/>
  <c r="K42" i="1"/>
  <c r="K43" i="1"/>
  <c r="K44" i="1"/>
  <c r="K45" i="1"/>
  <c r="K46" i="1"/>
  <c r="K48" i="1"/>
  <c r="K47" i="1"/>
  <c r="K49" i="1"/>
  <c r="K50" i="1"/>
  <c r="K51" i="1"/>
  <c r="K52" i="1"/>
  <c r="K53" i="1"/>
  <c r="K54" i="1"/>
  <c r="K236" i="1"/>
  <c r="K55" i="1"/>
  <c r="K56" i="1"/>
  <c r="K57" i="1"/>
  <c r="K58" i="1"/>
  <c r="K59" i="1"/>
  <c r="K60" i="1"/>
  <c r="K62" i="1"/>
  <c r="K61" i="1"/>
  <c r="K63" i="1"/>
  <c r="K64" i="1"/>
  <c r="K65" i="1"/>
  <c r="K66" i="1"/>
  <c r="K68" i="1"/>
  <c r="K67" i="1"/>
  <c r="K69" i="1"/>
  <c r="K70" i="1"/>
  <c r="K72" i="1"/>
  <c r="K73" i="1"/>
  <c r="K74" i="1"/>
  <c r="K71" i="1"/>
  <c r="K75" i="1"/>
  <c r="K76" i="1"/>
  <c r="K77" i="1"/>
  <c r="K78" i="1"/>
  <c r="K80" i="1"/>
  <c r="K81" i="1"/>
  <c r="K79" i="1"/>
  <c r="K82" i="1"/>
  <c r="K291" i="1"/>
  <c r="J2" i="5" s="1"/>
  <c r="K84" i="1"/>
  <c r="K86" i="1"/>
  <c r="K85" i="1"/>
  <c r="K87" i="1"/>
  <c r="K88" i="1"/>
  <c r="K89" i="1"/>
  <c r="K90" i="1"/>
  <c r="K91" i="1"/>
  <c r="K92" i="1"/>
  <c r="K93" i="1"/>
  <c r="K293" i="1"/>
  <c r="K94" i="1"/>
  <c r="J3" i="5" s="1"/>
  <c r="K95" i="1"/>
  <c r="K96" i="1"/>
  <c r="K97" i="1"/>
  <c r="K98" i="1"/>
  <c r="K99" i="1"/>
  <c r="K102" i="1"/>
  <c r="K103" i="1"/>
  <c r="J16" i="5"/>
  <c r="K105" i="1"/>
  <c r="K106" i="1"/>
  <c r="K257" i="1"/>
  <c r="J13" i="5" s="1"/>
  <c r="K107" i="1"/>
  <c r="K108" i="1"/>
  <c r="K109" i="1"/>
  <c r="K110" i="1"/>
  <c r="K112" i="1"/>
  <c r="K113" i="1"/>
  <c r="K115" i="1"/>
  <c r="K117" i="1"/>
  <c r="K118" i="1"/>
  <c r="K121" i="1"/>
  <c r="K122" i="1"/>
  <c r="K123" i="1"/>
  <c r="J5" i="5" s="1"/>
  <c r="K125" i="1"/>
  <c r="K127" i="1"/>
  <c r="J6" i="5" s="1"/>
  <c r="K124" i="1"/>
  <c r="K126" i="1"/>
  <c r="K129" i="1"/>
  <c r="K130" i="1"/>
  <c r="K131" i="1"/>
  <c r="K132" i="1"/>
  <c r="K133" i="1"/>
  <c r="K134" i="1"/>
  <c r="K135" i="1"/>
  <c r="K136" i="1"/>
  <c r="K137" i="1"/>
  <c r="K138" i="1"/>
  <c r="K140" i="1"/>
  <c r="J7" i="5" s="1"/>
  <c r="K139" i="1"/>
  <c r="K141" i="1"/>
  <c r="K142" i="1"/>
  <c r="K143" i="1"/>
  <c r="K144" i="1"/>
  <c r="K244" i="1"/>
  <c r="K145" i="1"/>
  <c r="K151" i="1"/>
  <c r="K149" i="1"/>
  <c r="K150" i="1"/>
  <c r="K146" i="1"/>
  <c r="K147" i="1"/>
  <c r="K148" i="1"/>
  <c r="K152" i="1"/>
  <c r="K153" i="1"/>
  <c r="K154" i="1"/>
  <c r="K155" i="1"/>
  <c r="K156" i="1"/>
  <c r="K158" i="1"/>
  <c r="K159" i="1"/>
  <c r="K160" i="1"/>
  <c r="K161" i="1"/>
  <c r="K157" i="1"/>
  <c r="K162" i="1"/>
  <c r="K163" i="1"/>
  <c r="K164" i="1"/>
  <c r="K165" i="1"/>
  <c r="K167" i="1"/>
  <c r="K166" i="1"/>
  <c r="K168" i="1"/>
  <c r="K169" i="1"/>
  <c r="K171" i="1"/>
  <c r="K170" i="1"/>
  <c r="K172" i="1"/>
  <c r="K173" i="1"/>
  <c r="K174" i="1"/>
  <c r="K175" i="1"/>
  <c r="K176" i="1"/>
  <c r="K177" i="1"/>
  <c r="K178" i="1"/>
  <c r="K179" i="1"/>
  <c r="K180" i="1"/>
  <c r="K182" i="1"/>
  <c r="K183" i="1"/>
  <c r="K181" i="1"/>
  <c r="K185" i="1"/>
  <c r="K186" i="1"/>
  <c r="K184" i="1"/>
  <c r="K235" i="1"/>
  <c r="K282" i="1"/>
  <c r="K192" i="1"/>
  <c r="K190" i="1"/>
  <c r="K193" i="1"/>
  <c r="K187" i="1"/>
  <c r="K188" i="1"/>
  <c r="K191" i="1"/>
  <c r="J8" i="5" s="1"/>
  <c r="K189" i="1"/>
  <c r="K194" i="1"/>
  <c r="K195" i="1"/>
  <c r="K198" i="1"/>
  <c r="J9" i="5" s="1"/>
  <c r="K196" i="1"/>
  <c r="K197" i="1"/>
  <c r="K201" i="1"/>
  <c r="K202" i="1"/>
  <c r="K200" i="1"/>
  <c r="K199" i="1"/>
  <c r="K203" i="1"/>
  <c r="K212" i="1"/>
  <c r="K211" i="1"/>
  <c r="K209" i="1"/>
  <c r="K208" i="1"/>
  <c r="K207" i="1"/>
  <c r="K206" i="1"/>
  <c r="K210" i="1"/>
  <c r="K204" i="1"/>
  <c r="K205" i="1"/>
  <c r="K213" i="1"/>
  <c r="K220" i="1"/>
  <c r="K218" i="1"/>
  <c r="K216" i="1"/>
  <c r="K217" i="1"/>
  <c r="K214" i="1"/>
  <c r="K219" i="1"/>
  <c r="K215" i="1"/>
  <c r="K221" i="1"/>
  <c r="K222" i="1"/>
  <c r="K229" i="1"/>
  <c r="K232" i="1"/>
  <c r="K224" i="1"/>
  <c r="K226" i="1"/>
  <c r="K223" i="1"/>
  <c r="K225" i="1"/>
  <c r="K227" i="1"/>
  <c r="K230" i="1"/>
  <c r="K231" i="1"/>
  <c r="K228" i="1"/>
  <c r="J10" i="5" s="1"/>
  <c r="K233" i="1"/>
  <c r="J11" i="5" s="1"/>
  <c r="K234" i="1"/>
  <c r="J12" i="5" s="1"/>
  <c r="K252" i="1"/>
  <c r="B10" i="5"/>
  <c r="B11" i="5"/>
  <c r="B2" i="5"/>
  <c r="B3" i="5"/>
  <c r="B13" i="5"/>
  <c r="B5" i="5"/>
  <c r="B6" i="5"/>
  <c r="B7" i="5"/>
  <c r="B8" i="5"/>
  <c r="B9" i="5"/>
  <c r="B12" i="5"/>
  <c r="D10" i="5"/>
  <c r="E12" i="5"/>
  <c r="F12" i="5"/>
  <c r="G12" i="5"/>
  <c r="H12" i="5"/>
  <c r="I12" i="5"/>
  <c r="K12" i="5"/>
  <c r="L12" i="5"/>
  <c r="M12" i="5"/>
  <c r="N12" i="5"/>
  <c r="F10" i="5"/>
  <c r="G10" i="5"/>
  <c r="H10" i="5"/>
  <c r="I10" i="5"/>
  <c r="K10" i="5"/>
  <c r="L10" i="5"/>
  <c r="M10" i="5"/>
  <c r="N10" i="5"/>
  <c r="F11" i="5"/>
  <c r="G11" i="5"/>
  <c r="H11" i="5"/>
  <c r="I11" i="5"/>
  <c r="K11" i="5"/>
  <c r="L11" i="5"/>
  <c r="M11" i="5"/>
  <c r="N11" i="5"/>
  <c r="F2" i="5"/>
  <c r="G2" i="5"/>
  <c r="H2" i="5"/>
  <c r="I2" i="5"/>
  <c r="K2" i="5"/>
  <c r="L2" i="5"/>
  <c r="M2" i="5"/>
  <c r="N2" i="5"/>
  <c r="F3" i="5"/>
  <c r="G3" i="5"/>
  <c r="K3" i="5"/>
  <c r="L3" i="5"/>
  <c r="M3" i="5"/>
  <c r="N3" i="5"/>
  <c r="F13" i="5"/>
  <c r="G13" i="5"/>
  <c r="H13" i="5"/>
  <c r="I13" i="5"/>
  <c r="K13" i="5"/>
  <c r="L13" i="5"/>
  <c r="M13" i="5"/>
  <c r="N13" i="5"/>
  <c r="F5" i="5"/>
  <c r="G5" i="5"/>
  <c r="K5" i="5"/>
  <c r="L5" i="5"/>
  <c r="M5" i="5"/>
  <c r="N5" i="5"/>
  <c r="F6" i="5"/>
  <c r="G6" i="5"/>
  <c r="K6" i="5"/>
  <c r="L6" i="5"/>
  <c r="M6" i="5"/>
  <c r="N6" i="5"/>
  <c r="F7" i="5"/>
  <c r="G7" i="5"/>
  <c r="K7" i="5"/>
  <c r="L7" i="5"/>
  <c r="M7" i="5"/>
  <c r="N7" i="5"/>
  <c r="F8" i="5"/>
  <c r="G8" i="5"/>
  <c r="H8" i="5"/>
  <c r="I8" i="5"/>
  <c r="K8" i="5"/>
  <c r="L8" i="5"/>
  <c r="M8" i="5"/>
  <c r="N8" i="5"/>
  <c r="F9" i="5"/>
  <c r="G9" i="5"/>
  <c r="H9" i="5"/>
  <c r="I9" i="5"/>
  <c r="K9" i="5"/>
  <c r="L9" i="5"/>
  <c r="M9" i="5"/>
  <c r="N9" i="5"/>
  <c r="E10" i="5"/>
  <c r="E11" i="5"/>
  <c r="E2" i="5"/>
  <c r="E3" i="5"/>
  <c r="E13" i="5"/>
  <c r="E5" i="5"/>
  <c r="E6" i="5"/>
  <c r="E7" i="5"/>
  <c r="E8" i="5"/>
  <c r="E9" i="5"/>
  <c r="D11" i="5"/>
  <c r="D2" i="5"/>
  <c r="D3" i="5"/>
  <c r="D13" i="5"/>
  <c r="D5" i="5"/>
  <c r="D6" i="5"/>
  <c r="D7" i="5"/>
  <c r="D8" i="5"/>
  <c r="D9" i="5"/>
  <c r="D12" i="5"/>
  <c r="A1" i="5"/>
  <c r="A1" i="1"/>
  <c r="K297" i="1"/>
  <c r="K296" i="1"/>
  <c r="A296" i="1"/>
  <c r="A185" i="1" l="1"/>
  <c r="A297" i="1"/>
  <c r="A6" i="1"/>
  <c r="A289" i="1"/>
  <c r="A288" i="1"/>
  <c r="A184" i="1"/>
  <c r="A186" i="1"/>
  <c r="A198" i="1"/>
  <c r="A9" i="5" s="1"/>
  <c r="A208" i="1"/>
  <c r="A195" i="1"/>
  <c r="A241" i="1"/>
  <c r="A231" i="1"/>
  <c r="A245" i="1"/>
  <c r="A248" i="1"/>
  <c r="A268" i="1"/>
  <c r="A258" i="1"/>
  <c r="A15" i="5" s="1"/>
  <c r="A228" i="1"/>
  <c r="A10" i="5" s="1"/>
  <c r="A247" i="1"/>
  <c r="A207" i="1"/>
  <c r="A219" i="1"/>
  <c r="A279" i="1"/>
  <c r="A215" i="1"/>
  <c r="A287" i="1"/>
  <c r="A274" i="1"/>
  <c r="A204" i="1"/>
  <c r="A229" i="1"/>
  <c r="A252" i="1"/>
  <c r="A190" i="1"/>
  <c r="A280" i="1"/>
  <c r="A7" i="1"/>
  <c r="A193" i="1"/>
  <c r="A213" i="1"/>
  <c r="A224" i="1"/>
  <c r="A256" i="1"/>
  <c r="A284" i="1"/>
  <c r="A2" i="5"/>
  <c r="A199" i="1"/>
  <c r="A226" i="1"/>
  <c r="A283" i="1"/>
  <c r="A188" i="1"/>
  <c r="A203" i="1"/>
  <c r="A218" i="1"/>
  <c r="A223" i="1"/>
  <c r="A246" i="1"/>
  <c r="A251" i="1"/>
  <c r="A263" i="1"/>
  <c r="A286" i="1"/>
  <c r="A122" i="1"/>
  <c r="A182" i="1"/>
  <c r="A191" i="1"/>
  <c r="A8" i="5" s="1"/>
  <c r="A212" i="1"/>
  <c r="A216" i="1"/>
  <c r="A225" i="1"/>
  <c r="A243" i="1"/>
  <c r="A254" i="1"/>
  <c r="A264" i="1"/>
  <c r="A276" i="1"/>
  <c r="A285" i="1"/>
  <c r="A282" i="1"/>
  <c r="A210" i="1"/>
  <c r="A234" i="1"/>
  <c r="A12" i="5" s="1"/>
  <c r="A272" i="1"/>
  <c r="A9" i="1"/>
  <c r="A192" i="1"/>
  <c r="A201" i="1"/>
  <c r="A236" i="1"/>
  <c r="A270" i="1"/>
  <c r="A10" i="1"/>
  <c r="A202" i="1"/>
  <c r="A205" i="1"/>
  <c r="A232" i="1"/>
  <c r="A235" i="1"/>
  <c r="A255" i="1"/>
  <c r="A265" i="1"/>
  <c r="A14" i="5" s="1"/>
  <c r="A273" i="1"/>
  <c r="A200" i="1"/>
  <c r="A261" i="1"/>
  <c r="A275" i="1"/>
  <c r="A187" i="1"/>
  <c r="A220" i="1"/>
  <c r="A237" i="1"/>
  <c r="A249" i="1"/>
  <c r="A262" i="1"/>
  <c r="A271" i="1"/>
  <c r="A277" i="1"/>
  <c r="A183" i="1"/>
  <c r="A189" i="1"/>
  <c r="A211" i="1"/>
  <c r="A217" i="1"/>
  <c r="A227" i="1"/>
  <c r="A240" i="1"/>
  <c r="A250" i="1"/>
  <c r="A260" i="1"/>
  <c r="A16" i="5"/>
  <c r="A196" i="1"/>
  <c r="A206" i="1"/>
  <c r="A221" i="1"/>
  <c r="A233" i="1"/>
  <c r="A11" i="5" s="1"/>
  <c r="A239" i="1"/>
  <c r="A257" i="1"/>
  <c r="A13" i="5" s="1"/>
  <c r="A281" i="1"/>
  <c r="A8" i="1"/>
  <c r="A197" i="1"/>
  <c r="A222" i="1"/>
  <c r="A238" i="1"/>
  <c r="A266" i="1"/>
  <c r="A259" i="1"/>
  <c r="A181" i="1"/>
  <c r="A194" i="1"/>
  <c r="A209" i="1"/>
  <c r="A214" i="1"/>
  <c r="A230" i="1"/>
  <c r="A242" i="1"/>
  <c r="A253" i="1"/>
  <c r="A267" i="1"/>
  <c r="A278" i="1"/>
  <c r="A2" i="1"/>
  <c r="A4" i="1"/>
  <c r="A3" i="1"/>
  <c r="A5" i="1"/>
  <c r="A28" i="5" l="1"/>
  <c r="A29" i="5"/>
  <c r="A41" i="5"/>
  <c r="A43" i="5"/>
  <c r="A34" i="5"/>
  <c r="A18" i="5"/>
  <c r="A30" i="5"/>
  <c r="A42" i="5"/>
  <c r="A31" i="5"/>
  <c r="A19" i="5"/>
  <c r="A20" i="5"/>
  <c r="A32" i="5"/>
  <c r="A17" i="5"/>
  <c r="A21" i="5"/>
  <c r="A33" i="5"/>
  <c r="A35" i="5"/>
  <c r="A36" i="5"/>
  <c r="A40" i="5"/>
  <c r="A22" i="5"/>
  <c r="A23" i="5"/>
  <c r="A24" i="5"/>
  <c r="A25" i="5"/>
  <c r="A37" i="5"/>
  <c r="A26" i="5"/>
  <c r="A38" i="5"/>
  <c r="A27" i="5"/>
  <c r="A39" i="5"/>
  <c r="A147" i="1" l="1"/>
  <c r="A173" i="1"/>
  <c r="A52" i="1"/>
  <c r="A152" i="1"/>
  <c r="I4" i="5"/>
  <c r="A129" i="1"/>
  <c r="A38" i="1"/>
  <c r="H4" i="5"/>
  <c r="A59" i="1"/>
  <c r="A117" i="1"/>
  <c r="A90" i="1"/>
  <c r="A99" i="1"/>
  <c r="A120" i="1"/>
  <c r="A35" i="1"/>
  <c r="I5" i="5"/>
  <c r="A16" i="1"/>
  <c r="A155" i="1"/>
  <c r="A132" i="1"/>
  <c r="A103" i="1"/>
  <c r="A111" i="1"/>
  <c r="A95" i="1"/>
  <c r="A133" i="1"/>
  <c r="A161" i="1"/>
  <c r="A134" i="1"/>
  <c r="A60" i="1"/>
  <c r="A49" i="1"/>
  <c r="A81" i="1"/>
  <c r="A100" i="1"/>
  <c r="A4" i="5" s="1"/>
  <c r="A63" i="1"/>
  <c r="A179" i="1"/>
  <c r="A128" i="1"/>
  <c r="A11" i="1"/>
  <c r="A143" i="1"/>
  <c r="A57" i="1"/>
  <c r="A159" i="1"/>
  <c r="A175" i="1"/>
  <c r="A22" i="1"/>
  <c r="A36" i="1"/>
  <c r="A78" i="1"/>
  <c r="A71" i="1"/>
  <c r="A18" i="1"/>
  <c r="A72" i="1"/>
  <c r="A28" i="1"/>
  <c r="A151" i="1"/>
  <c r="A58" i="1"/>
  <c r="A67" i="1"/>
  <c r="A158" i="1"/>
  <c r="A55" i="1"/>
  <c r="A137" i="1"/>
  <c r="A96" i="1"/>
  <c r="A138" i="1"/>
  <c r="A145" i="1"/>
  <c r="A56" i="1"/>
  <c r="A144" i="1"/>
  <c r="A166" i="1"/>
  <c r="A75" i="1"/>
  <c r="A131" i="1"/>
  <c r="A136" i="1"/>
  <c r="A85" i="1"/>
  <c r="A105" i="1"/>
  <c r="A176" i="1"/>
  <c r="A45" i="1"/>
  <c r="A37" i="1"/>
  <c r="A54" i="1"/>
  <c r="A98" i="1"/>
  <c r="A51" i="1"/>
  <c r="A15" i="1"/>
  <c r="A119" i="1"/>
  <c r="A73" i="1"/>
  <c r="A34" i="1"/>
  <c r="A125" i="1"/>
  <c r="A84" i="1"/>
  <c r="A41" i="1"/>
  <c r="A80" i="1"/>
  <c r="A121" i="1"/>
  <c r="A20" i="1"/>
  <c r="A169" i="1"/>
  <c r="A68" i="1"/>
  <c r="A164" i="1"/>
  <c r="A25" i="1"/>
  <c r="A17" i="1"/>
  <c r="A174" i="1"/>
  <c r="A82" i="1"/>
  <c r="A141" i="1"/>
  <c r="A149" i="1"/>
  <c r="A101" i="1"/>
  <c r="A69" i="1"/>
  <c r="A150" i="1"/>
  <c r="A160" i="1"/>
  <c r="A116" i="1"/>
  <c r="A156" i="1"/>
  <c r="I7" i="5"/>
  <c r="A130" i="1"/>
  <c r="A70" i="1"/>
  <c r="A148" i="1"/>
  <c r="A21" i="1"/>
  <c r="A178" i="1"/>
  <c r="A97" i="1"/>
  <c r="A23" i="1"/>
  <c r="A115" i="1"/>
  <c r="A26" i="1"/>
  <c r="A135" i="1"/>
  <c r="A92" i="1"/>
  <c r="A79" i="1"/>
  <c r="A66" i="1"/>
  <c r="A107" i="1"/>
  <c r="A167" i="1"/>
  <c r="A104" i="1"/>
  <c r="A65" i="1"/>
  <c r="A170" i="1"/>
  <c r="A43" i="1"/>
  <c r="A146" i="1"/>
  <c r="A172" i="1"/>
  <c r="A44" i="1"/>
  <c r="A102" i="1"/>
  <c r="A93" i="1"/>
  <c r="A109" i="1"/>
  <c r="A61" i="1"/>
  <c r="A153" i="1"/>
  <c r="A40" i="1"/>
  <c r="A29" i="1"/>
  <c r="A53" i="1"/>
  <c r="A77" i="1"/>
  <c r="A142" i="1"/>
  <c r="A14" i="1"/>
  <c r="A139" i="1"/>
  <c r="A91" i="1"/>
  <c r="A113" i="1"/>
  <c r="A33" i="1"/>
  <c r="A31" i="1"/>
  <c r="A12" i="1"/>
  <c r="A24" i="1"/>
  <c r="A46" i="1"/>
  <c r="A108" i="1"/>
  <c r="A74" i="1"/>
  <c r="A112" i="1"/>
  <c r="A76" i="1"/>
  <c r="A87" i="1"/>
  <c r="A140" i="1"/>
  <c r="A7" i="5" s="1"/>
  <c r="H7" i="5"/>
  <c r="A50" i="1"/>
  <c r="A89" i="1"/>
  <c r="H5" i="5"/>
  <c r="I6" i="5"/>
  <c r="I3" i="5"/>
  <c r="A177" i="1"/>
  <c r="A127" i="1"/>
  <c r="A6" i="5" s="1"/>
  <c r="H6" i="5"/>
  <c r="A94" i="1"/>
  <c r="A3" i="5" s="1"/>
  <c r="H3" i="5"/>
  <c r="A157" i="1"/>
  <c r="A165" i="1"/>
  <c r="A171" i="1"/>
  <c r="A39" i="1"/>
  <c r="A13" i="1"/>
  <c r="A47" i="1"/>
  <c r="A124" i="1"/>
  <c r="A83" i="1"/>
  <c r="A19" i="1"/>
  <c r="A163" i="1"/>
  <c r="A162" i="1"/>
  <c r="A126" i="1"/>
  <c r="A32" i="1"/>
  <c r="A30" i="1"/>
  <c r="A42" i="1"/>
  <c r="A168" i="1"/>
  <c r="A123" i="1"/>
  <c r="A5" i="5" s="1"/>
  <c r="A110" i="1"/>
  <c r="A62" i="1"/>
  <c r="A154" i="1"/>
  <c r="A118" i="1"/>
  <c r="A88" i="1"/>
  <c r="A27" i="1"/>
  <c r="A64" i="1"/>
  <c r="A86" i="1"/>
  <c r="A106" i="1"/>
  <c r="A48" i="1"/>
  <c r="A180" i="1"/>
  <c r="K114" i="1"/>
  <c r="A114" i="1"/>
  <c r="K294" i="1"/>
  <c r="A294" i="1"/>
  <c r="K295" i="1"/>
  <c r="A295" i="1"/>
</calcChain>
</file>

<file path=xl/sharedStrings.xml><?xml version="1.0" encoding="utf-8"?>
<sst xmlns="http://schemas.openxmlformats.org/spreadsheetml/2006/main" count="2302" uniqueCount="914">
  <si>
    <t>Last PR date</t>
  </si>
  <si>
    <t>Name</t>
  </si>
  <si>
    <t>Previous Analyst</t>
  </si>
  <si>
    <t>Done</t>
  </si>
  <si>
    <t>Manas</t>
  </si>
  <si>
    <t>Agson Global Private Limited</t>
  </si>
  <si>
    <t>Rajsee Warang</t>
  </si>
  <si>
    <t>Siva Sai Exports</t>
  </si>
  <si>
    <t>Mitsumi Distribution FZCO</t>
  </si>
  <si>
    <t>S M Niryat Private Limited </t>
  </si>
  <si>
    <t>Nilachal Iron &amp; Power Limited</t>
  </si>
  <si>
    <t>Polaris Liquor Private Limited</t>
  </si>
  <si>
    <t>PCK Cotton Private Limited</t>
  </si>
  <si>
    <t xml:space="preserve">Palak Dand </t>
  </si>
  <si>
    <t>Shonan Engineering Works Private Limited</t>
  </si>
  <si>
    <t>Pratik</t>
  </si>
  <si>
    <t>Sai Sanket Enterprises</t>
  </si>
  <si>
    <t>Sruthi</t>
  </si>
  <si>
    <t>M N Ramesh Engineers And Contractors</t>
  </si>
  <si>
    <t>Pratik Prajapati</t>
  </si>
  <si>
    <t>Priya Garg</t>
  </si>
  <si>
    <t>Prakash Gold Palace Private Limited</t>
  </si>
  <si>
    <t>Sai Shakti Mahila Technical and Development Services</t>
  </si>
  <si>
    <t>Milan Purohit</t>
  </si>
  <si>
    <t>Jay Ambe Concrete</t>
  </si>
  <si>
    <t>Manthan Buildspace LLP</t>
  </si>
  <si>
    <t>Green Malabar Finance Venture Limited</t>
  </si>
  <si>
    <t>Rahul Kadwe</t>
  </si>
  <si>
    <t>ATS Housing Private Limited</t>
  </si>
  <si>
    <t>Sonal Ghanchi</t>
  </si>
  <si>
    <t>Cymbio Pharma Private Limited</t>
  </si>
  <si>
    <t>Parin Gems</t>
  </si>
  <si>
    <t>SHIVALIK DISTRIBUTION PRIVATE LIMITED</t>
  </si>
  <si>
    <t>Prakruti Products Private Limited</t>
  </si>
  <si>
    <t>Nidhi Kajagar</t>
  </si>
  <si>
    <t>Furniture Points</t>
  </si>
  <si>
    <t>Shubham Hande</t>
  </si>
  <si>
    <t>Shree Ram Resins Private Limited</t>
  </si>
  <si>
    <t>Shri Nagal Aluminium Company</t>
  </si>
  <si>
    <t>Creaative Powertech Private Limited</t>
  </si>
  <si>
    <t> Prashanth Poultry Private Limited</t>
  </si>
  <si>
    <t>Prathamesh Mirashi</t>
  </si>
  <si>
    <t>Enn Enn Corp Ltd</t>
  </si>
  <si>
    <t>Ruchika Gada</t>
  </si>
  <si>
    <t>Pushpagiri Medical Society</t>
  </si>
  <si>
    <t>Nand Infrastructure and Projects</t>
  </si>
  <si>
    <t>Scasa Nutrients Private Limited</t>
  </si>
  <si>
    <t>Sheetal Cool Products Limited</t>
  </si>
  <si>
    <t>Callac Poly Exim Private Limited</t>
  </si>
  <si>
    <t>DCX Systems Ltd</t>
  </si>
  <si>
    <t>Swiss Garnier Genexiaa Sciences Private Limited</t>
  </si>
  <si>
    <t>Nikita</t>
  </si>
  <si>
    <t>Syntex Trading and Agency Pvt Ltd</t>
  </si>
  <si>
    <t>Jagruti Sugar and Allied Industries Ltd</t>
  </si>
  <si>
    <t>Share India Securities Limited</t>
  </si>
  <si>
    <t>Tristar Lifesciences Private Limited</t>
  </si>
  <si>
    <t>Onish</t>
  </si>
  <si>
    <t>Zandros Granitos LLP</t>
  </si>
  <si>
    <t>Rahul Jadhav</t>
  </si>
  <si>
    <t>Uralungal Labour Contract Co-operative Society Limited</t>
  </si>
  <si>
    <t>IQF Food Pvt Ltd</t>
  </si>
  <si>
    <t>Omkar</t>
  </si>
  <si>
    <t>NISA Industrial Service Private Limited </t>
  </si>
  <si>
    <t>Rahul Saini</t>
  </si>
  <si>
    <t>Melt-O-Therm Furnaces Private</t>
  </si>
  <si>
    <t>Suresh Mandan</t>
  </si>
  <si>
    <t>Harman Finochem Limited</t>
  </si>
  <si>
    <t>Om Shri Shubh Labh Agritech Private Limited</t>
  </si>
  <si>
    <t>Sustainable Agro-Commercial Finance Limited</t>
  </si>
  <si>
    <t>Acute retail Infra Private Limited</t>
  </si>
  <si>
    <t>Srushti Patil</t>
  </si>
  <si>
    <t>Advanced Computers &amp; Mobiles India Private Limited</t>
  </si>
  <si>
    <t>Grand Canyon SEZ Pvt Ltd</t>
  </si>
  <si>
    <t>Aisshpra Life Spaces</t>
  </si>
  <si>
    <t>Aventura Components Private Limited</t>
  </si>
  <si>
    <t>Bhakti Extractions Private Limited</t>
  </si>
  <si>
    <t>Earth Water Limited</t>
  </si>
  <si>
    <t>Idupulapadu Cotton Mills Private Limited</t>
  </si>
  <si>
    <t>Raghava Constructions (India) Private Limited (RCIPL)</t>
  </si>
  <si>
    <t>Renuka Realtors</t>
  </si>
  <si>
    <t>Shree Ram Brine Chem Private Limited</t>
  </si>
  <si>
    <t>Chintpurni Steel Private</t>
  </si>
  <si>
    <t>Narsimha Iron &amp; Steel Private Limited</t>
  </si>
  <si>
    <t>Sri Shyam Fashion India Private Limited</t>
  </si>
  <si>
    <t>Dharna Bhadani</t>
  </si>
  <si>
    <t>PHN Technology Private Limited</t>
  </si>
  <si>
    <t>Nilesh Gupta</t>
  </si>
  <si>
    <t>Compuage Infocom Limited</t>
  </si>
  <si>
    <t>Shree Biradev Finance Private Limited</t>
  </si>
  <si>
    <t>Indreshwar Sugar Mills Ltd</t>
  </si>
  <si>
    <t>MEP Longjian CLR Private Limited</t>
  </si>
  <si>
    <t>MEP Longjian Loha Waranga Road Private Limited</t>
  </si>
  <si>
    <t>MEP Longjian VTR Private Limited</t>
  </si>
  <si>
    <t>S.V Distributors Private Limited</t>
  </si>
  <si>
    <t>Silpa Projects &amp; Infrastructure (India) Private Limited</t>
  </si>
  <si>
    <t>Aditya Auto Industries</t>
  </si>
  <si>
    <t>Shruti P. Sagothia</t>
  </si>
  <si>
    <t>Sivanssh Infrastructure Development Private Limited</t>
  </si>
  <si>
    <t>SISL Infotech</t>
  </si>
  <si>
    <t>SMBT Sevabhavi Trust</t>
  </si>
  <si>
    <t>Kajal Chhetija</t>
  </si>
  <si>
    <t>KLSR Infratech Limited</t>
  </si>
  <si>
    <t>MEP Longjian ACR Private Limited</t>
  </si>
  <si>
    <t>Savera Auto Comps Private Limited</t>
  </si>
  <si>
    <t>Maple Logistics Pvt Ltd</t>
  </si>
  <si>
    <t>Abhishek Nangia</t>
  </si>
  <si>
    <t>Rasik Products Private Limited</t>
  </si>
  <si>
    <t>Worlds Window Impex India Private Limited</t>
  </si>
  <si>
    <t>Global Ores &amp; Alloy Private Limited</t>
  </si>
  <si>
    <t>Ramkrishna Cotspin Private Limited</t>
  </si>
  <si>
    <t>Posco-Poggenamp Electrical Steel Private Limited</t>
  </si>
  <si>
    <t>Jathar Spinning Private Limited</t>
  </si>
  <si>
    <t>Bharath Hi-Tecch Builders Private Limited</t>
  </si>
  <si>
    <t>Kamala Ginning and Oil Industries Private Limited</t>
  </si>
  <si>
    <t>Jithin</t>
  </si>
  <si>
    <t>Kedareshwar Khandsari Udyog Private Limited</t>
  </si>
  <si>
    <t>Miracle Enterprises</t>
  </si>
  <si>
    <t>Agroh Rewa Ring Road Private Limited</t>
  </si>
  <si>
    <t>Chemtrade Overseas Private Limited</t>
  </si>
  <si>
    <t>R E Infra Private Limited</t>
  </si>
  <si>
    <t>Riya</t>
  </si>
  <si>
    <t>SSNR Power Pvt. Ltd.</t>
  </si>
  <si>
    <t>DMG Polypack Private Limited</t>
  </si>
  <si>
    <t>VFS Capital Limited</t>
  </si>
  <si>
    <t>Fortune Chemicals Limited</t>
  </si>
  <si>
    <t>Amar Shakti Commerce and Industries Limited</t>
  </si>
  <si>
    <t>Shrushti Contech Private Limited</t>
  </si>
  <si>
    <t>MMG Holdings Private Limited</t>
  </si>
  <si>
    <t>Magnifico Minerals Private Limited</t>
  </si>
  <si>
    <t>Sattva Engineering Construction Pvt Ltd</t>
  </si>
  <si>
    <t>Ultra Cab (India) Limited</t>
  </si>
  <si>
    <t>Castor Girnar Industries Private Limited</t>
  </si>
  <si>
    <t>Jai Hind Sugar private Limited</t>
  </si>
  <si>
    <t>Jaywant Sugars Limited</t>
  </si>
  <si>
    <t>Pratik Prabhu</t>
  </si>
  <si>
    <t>Agroh Kodinar Veraval Highways Private limited</t>
  </si>
  <si>
    <t>Chrysalis Trading Private Limited</t>
  </si>
  <si>
    <t>Caliber Mercantile Private Limited</t>
  </si>
  <si>
    <t>IIT-ians Pace Education Private Limited</t>
  </si>
  <si>
    <t>Radharaman Cotspin Private Limited</t>
  </si>
  <si>
    <t>Best Blue Metals</t>
  </si>
  <si>
    <t>Aniket</t>
  </si>
  <si>
    <t>Sun N Wind Infra Energy Pvt Ltd</t>
  </si>
  <si>
    <t>Jai Hind Feeds</t>
  </si>
  <si>
    <t>Anoj Kumar Agarwala</t>
  </si>
  <si>
    <t>Prince Corp Private Limited</t>
  </si>
  <si>
    <t>Quality Exports</t>
  </si>
  <si>
    <t>IRP Infra Tech Private Limited</t>
  </si>
  <si>
    <t>Sarna Chemicals Private Limited </t>
  </si>
  <si>
    <t>Shriniwas Spintex Industries Pvt Ltd</t>
  </si>
  <si>
    <t>Tirumalla Groundnuts Industries India Private Limited</t>
  </si>
  <si>
    <t>Tirumalla Oil Refinery Private Limited</t>
  </si>
  <si>
    <t xml:space="preserve">Madhya Pradesh Power Generating Company Limited </t>
  </si>
  <si>
    <t>Anupriya</t>
  </si>
  <si>
    <t>Worlds Window Infra &amp; Logistics Pvt Ltd</t>
  </si>
  <si>
    <t>Melzer Chemicals Private Limited</t>
  </si>
  <si>
    <t>R C Apparels</t>
  </si>
  <si>
    <t>Dhansamridhi Finance Private Limited</t>
  </si>
  <si>
    <t>Kute Sons Dairys Limited</t>
  </si>
  <si>
    <t>Kute Sons Fresh Dairy Private Limited</t>
  </si>
  <si>
    <t>KHFM Hospitality and Facility Management Services Limited</t>
  </si>
  <si>
    <t>India Home Loan Limited</t>
  </si>
  <si>
    <t>IQRA Microfinance Federation</t>
  </si>
  <si>
    <t>Swadha Finlease Private Limited</t>
  </si>
  <si>
    <t>Mundhe Industries Pvt Ltd</t>
  </si>
  <si>
    <t>Eagle Steels Rolling Mill</t>
  </si>
  <si>
    <t>Seagull Maritime Agencies Private Limited</t>
  </si>
  <si>
    <t>Viyan Tex Industries LLP</t>
  </si>
  <si>
    <t>Heera Ind Trading Private Limited</t>
  </si>
  <si>
    <t>Pratham Heera Sales Private Limited</t>
  </si>
  <si>
    <t>Annai Resorts and Spa Private Limited</t>
  </si>
  <si>
    <t>ETO Motors Private Limited</t>
  </si>
  <si>
    <t>Vamica Resorts Pvt Ltd</t>
  </si>
  <si>
    <t>Shri Mahesh Co-operative Spinning Mills Limited</t>
  </si>
  <si>
    <t>Enzotech Solutions</t>
  </si>
  <si>
    <t>Radiant Industries</t>
  </si>
  <si>
    <t>Shree Manglam Buildcon (I) Private Limited</t>
  </si>
  <si>
    <t>Vimla Fuels &amp; Metals Limited</t>
  </si>
  <si>
    <t>Dhwaja shares &amp; Securities Private Limited</t>
  </si>
  <si>
    <t>Samrat Gems Impex Private Limited</t>
  </si>
  <si>
    <t>ICL Fincorp Limited</t>
  </si>
  <si>
    <t xml:space="preserve">Manan </t>
  </si>
  <si>
    <t>Arthmate Financing India Private Limited</t>
  </si>
  <si>
    <t>P.K. Pharmatech Private Limited</t>
  </si>
  <si>
    <t>Trimurthi Exports</t>
  </si>
  <si>
    <t>Laxmi Dia Jewels Private Limited</t>
  </si>
  <si>
    <t>Svarog Global Power Private Limited</t>
  </si>
  <si>
    <t>Goldrush Sales &amp; Services Limited</t>
  </si>
  <si>
    <t>PressMach Infrastructure Private Limited</t>
  </si>
  <si>
    <t>Ven Malar Wind Energy Private Limited</t>
  </si>
  <si>
    <t>Radhakishan Infra Developers Pvt Ltd</t>
  </si>
  <si>
    <t>Sharad Sahakari Sakhar Karkhana Limited</t>
  </si>
  <si>
    <t>Adhikar Microfinance Private Limited</t>
  </si>
  <si>
    <t>Sampark Fin Services Private Limited</t>
  </si>
  <si>
    <t>Maple ODC Movers Pvt Ltd</t>
  </si>
  <si>
    <t>Worlds Window Wardha Infrastructure Pvt Ltd</t>
  </si>
  <si>
    <t xml:space="preserve">Everest Metals FZE </t>
  </si>
  <si>
    <t>Fagne Tarsod Corridor Private Limited</t>
  </si>
  <si>
    <t>KMC Constructions Limited</t>
  </si>
  <si>
    <t>Sai Srushti Kengeri Projects Pvt Ltd</t>
  </si>
  <si>
    <t>Arrow Powertech Private Limited</t>
  </si>
  <si>
    <t>Beohari Bansukli Pathways Private Limited</t>
  </si>
  <si>
    <t>Mayuri Broiler Breeding Farms Private Limited</t>
  </si>
  <si>
    <t>Rewa Pathways Private Limited</t>
  </si>
  <si>
    <t>Sivaguru Spinning Mills Private Limited</t>
  </si>
  <si>
    <t>Udit Baihar Lamta Private Limited</t>
  </si>
  <si>
    <t>Udit Pathways Private Limited</t>
  </si>
  <si>
    <t>Metal Care Alloys Limited</t>
  </si>
  <si>
    <t>Dhosa Chandaneswar Bratyajana Samity</t>
  </si>
  <si>
    <t>Glowmore Finance Private Limited</t>
  </si>
  <si>
    <t>PADMAVATI CHAINS and Jewels PRIVATE LIMITED</t>
  </si>
  <si>
    <t>Sai Srusti Bidalur Projects Pvt ltd</t>
  </si>
  <si>
    <t>Marshal Manufacturing and Exports</t>
  </si>
  <si>
    <t>Metcon India Realty and Infrastructure Private Limited</t>
  </si>
  <si>
    <t>Hotel Tara Palace</t>
  </si>
  <si>
    <t>JMJ Charitable Education Society</t>
  </si>
  <si>
    <t>Sayyam Investments Private Limited</t>
  </si>
  <si>
    <t>Pratham Daya</t>
  </si>
  <si>
    <t>IDF Financial Services Private Limited</t>
  </si>
  <si>
    <t>Anusaya Poly Products Industries</t>
  </si>
  <si>
    <t>Bhatia Trading Company</t>
  </si>
  <si>
    <t>Jay Formulation Limited</t>
  </si>
  <si>
    <t>Moksha Thermoplastics Private Limited</t>
  </si>
  <si>
    <t>Santhagarik Agro Private Limited</t>
  </si>
  <si>
    <t>Unique UHPC Infra LLP</t>
  </si>
  <si>
    <t>Alstrong Enterprises India Private Limited</t>
  </si>
  <si>
    <t>Jaideepraj Infrastructure Private Limited</t>
  </si>
  <si>
    <t>Ray Engineering Private Limited</t>
  </si>
  <si>
    <t xml:space="preserve">Radiance Alloy and Electrical Private Limited </t>
  </si>
  <si>
    <t xml:space="preserve">Suraj Informatics Private Limited </t>
  </si>
  <si>
    <t>Aara Jungle Resortes Private Limited</t>
  </si>
  <si>
    <t>BFG International Private Limited</t>
  </si>
  <si>
    <t>Kings Canyon SEZ Private Limited</t>
  </si>
  <si>
    <t>Shri Ram Raja Sarkar Lok Kalyan Trust</t>
  </si>
  <si>
    <t>Sun Paper Mill Limited</t>
  </si>
  <si>
    <t xml:space="preserve">Karan Kothari Business Park Private Limited </t>
  </si>
  <si>
    <t>Jalna Siddhivinayak Alloys Private Limited</t>
  </si>
  <si>
    <t>Tassos Construction Private Limited</t>
  </si>
  <si>
    <t>Akanksha power &amp;Infra-Limited</t>
  </si>
  <si>
    <t>KK Spun India Limited</t>
  </si>
  <si>
    <t>Muktainagar Shahapur Corridor Pvt. Ltd.</t>
  </si>
  <si>
    <t>National Capsules Pvt Ltd</t>
  </si>
  <si>
    <t>New Leaf Tea Plantation Private Limited</t>
  </si>
  <si>
    <t>4S Spintex India Pvt. Ltd.</t>
  </si>
  <si>
    <t>Aria Hotels and Consultancy Private Limited</t>
  </si>
  <si>
    <t>Bharat Heart &amp; Super Speciality Hospital</t>
  </si>
  <si>
    <t>Draken Metals Trading Pvt Ltd</t>
  </si>
  <si>
    <t>Home Zone Stainless Pvt Ltd</t>
  </si>
  <si>
    <t>Maya Construction Company Pvt Ltd</t>
  </si>
  <si>
    <t>Praful Enterprises Private Limited</t>
  </si>
  <si>
    <t>TIMES INFRABUILD LLP</t>
  </si>
  <si>
    <t>Olympus Metal Private Limited</t>
  </si>
  <si>
    <t>Priyansh</t>
  </si>
  <si>
    <t>Oyster Steel and Iron Private Limited</t>
  </si>
  <si>
    <t>Shri Dhanalakshmi Spinntex Private Limited</t>
  </si>
  <si>
    <t>Salem Erode Investments Limited</t>
  </si>
  <si>
    <t xml:space="preserve">Amount </t>
  </si>
  <si>
    <t>Date of becoming INC</t>
  </si>
  <si>
    <t>Group Head</t>
  </si>
  <si>
    <t>LT Rating</t>
  </si>
  <si>
    <t xml:space="preserve">ST Rating </t>
  </si>
  <si>
    <t>Last Date</t>
  </si>
  <si>
    <t>Contact Person</t>
  </si>
  <si>
    <t>Number</t>
  </si>
  <si>
    <t>Email</t>
  </si>
  <si>
    <t>BD</t>
  </si>
  <si>
    <t>Committee Date</t>
  </si>
  <si>
    <t>Lt</t>
  </si>
  <si>
    <t>St</t>
  </si>
  <si>
    <t>Jyotsna</t>
  </si>
  <si>
    <t>siddhant Khatri</t>
  </si>
  <si>
    <t>siddhant.khatri@jmminfra.com ; cadeepika.chamola@jmminfra.com</t>
  </si>
  <si>
    <t>IVR A4+; INC</t>
  </si>
  <si>
    <t>Amey Joshi</t>
  </si>
  <si>
    <t>IVR D; INC</t>
  </si>
  <si>
    <t>Sudha</t>
  </si>
  <si>
    <t>agson@agsonglobal.com; finance@agsonglobal.com</t>
  </si>
  <si>
    <t>IVR A4+(CE); INC</t>
  </si>
  <si>
    <t>IVR A4; INC</t>
  </si>
  <si>
    <t>Ms. Vandana Pawar</t>
  </si>
  <si>
    <t>sivasaiexports@yahoo.com</t>
  </si>
  <si>
    <t>IVR A4(CE); INC</t>
  </si>
  <si>
    <t>Issuer Rating</t>
  </si>
  <si>
    <t>NA</t>
  </si>
  <si>
    <t xml:space="preserve">CS Nadeem </t>
  </si>
  <si>
    <t xml:space="preserve">
7879533688</t>
  </si>
  <si>
    <t>rajesh@mitsumidistribution.com'</t>
  </si>
  <si>
    <t xml:space="preserve"> -</t>
  </si>
  <si>
    <t>rajg@smgroup.co.in'; 'smniryat@smgroup.co.in'</t>
  </si>
  <si>
    <t>3/18/2024</t>
  </si>
  <si>
    <t>Kuldip Maity</t>
  </si>
  <si>
    <t>rajg@smgroup.co.in'</t>
  </si>
  <si>
    <t xml:space="preserve">K. S Ganesh </t>
  </si>
  <si>
    <t>accounts@polarisliquor.com, santoshwagleicedd@gmail.com</t>
  </si>
  <si>
    <t>Sudarshan Shreenivas</t>
  </si>
  <si>
    <t>accounts@pckcotton.com, parascm@pckcotton.com</t>
  </si>
  <si>
    <t>Rekha Chokkalingam</t>
  </si>
  <si>
    <t>pvandana@shonan.co.in</t>
  </si>
  <si>
    <t>Gurav Jain</t>
  </si>
  <si>
    <t> RAMESH M N</t>
  </si>
  <si>
    <t>rameshmn10@rediffmail.com</t>
  </si>
  <si>
    <t>Fr. John Padipurackal</t>
  </si>
  <si>
    <t>Shivakumar</t>
  </si>
  <si>
    <t>priyankascpl19@gmail.com</t>
  </si>
  <si>
    <t>sparthasarathy@gopportunity.net</t>
  </si>
  <si>
    <t>dk.jindal24@ymail.com</t>
  </si>
  <si>
    <t>IVR D (INC)</t>
  </si>
  <si>
    <t>K L Sreedhar Reddy</t>
  </si>
  <si>
    <t>punitha@pgpgroups.com / pgpfinance@pgpgroups.com</t>
  </si>
  <si>
    <t>-</t>
  </si>
  <si>
    <t>Vipul Patel</t>
  </si>
  <si>
    <t>jayambermc662018@gmail.com</t>
  </si>
  <si>
    <t>Yash G Brahmbhatt</t>
  </si>
  <si>
    <t>account@shilp.co.in</t>
  </si>
  <si>
    <t>8/13/2025</t>
  </si>
  <si>
    <t>Mr. Sunil Shinde</t>
  </si>
  <si>
    <t>Ramchandran Chellam &lt;ramchellam@Petromoney.co.in&gt;</t>
  </si>
  <si>
    <t>Shyam Prasad</t>
  </si>
  <si>
    <t>neha.kamra@atsgreens.com, lovely.pathak@atsgreens.com</t>
  </si>
  <si>
    <t>S. Gnanathiraviam</t>
  </si>
  <si>
    <t>subbaramk@karlegroup.com</t>
  </si>
  <si>
    <t>Satyanarayana</t>
  </si>
  <si>
    <t>gkk1959@gmail.com</t>
  </si>
  <si>
    <t>Mitesh Gajera</t>
  </si>
  <si>
    <t>info@millenniumtilesllp.com</t>
  </si>
  <si>
    <t>Sudhir Moola</t>
  </si>
  <si>
    <t>JIGNESH.ITALIYA@PARINGEMS.IN</t>
  </si>
  <si>
    <t>Mr Venkateswaran</t>
  </si>
  <si>
    <t>shobhit.shivalik@gmail.com, bsthapa60@gmail.com, pradeep.shivalik@gmail.com</t>
  </si>
  <si>
    <t>MR. PRAVEER SHETTY</t>
  </si>
  <si>
    <t>accounts@prakruti.com</t>
  </si>
  <si>
    <t>IVR A4 (INC)</t>
  </si>
  <si>
    <t>Vuppala .Harsha Vardhan Reddy</t>
  </si>
  <si>
    <t>singhpappu41@gmail.com</t>
  </si>
  <si>
    <t>shreeramresins@gmail.com</t>
  </si>
  <si>
    <t>shrinagalalu@gmail.com</t>
  </si>
  <si>
    <t>MR. LALIT PALWE</t>
  </si>
  <si>
    <t>sales@creaativepowertech.com</t>
  </si>
  <si>
    <t>Sayed</t>
  </si>
  <si>
    <t>prashanthpoultry@gmail.com</t>
  </si>
  <si>
    <t>Varun Dalal</t>
  </si>
  <si>
    <t>vdalal@ennenngroup.com</t>
  </si>
  <si>
    <t>financedirector@pushpagiri.in</t>
  </si>
  <si>
    <t>Arjun Sethi</t>
  </si>
  <si>
    <t>arjun@scasaindustries.com</t>
  </si>
  <si>
    <t>Bhupat Bhuva</t>
  </si>
  <si>
    <t>info@sheetalicecream.com</t>
  </si>
  <si>
    <t>Ramchandran Chellam</t>
  </si>
  <si>
    <t>Mrs. Geetaben Narendrasinh Gohil &lt;cnplbvn@yahoo.in&gt;</t>
  </si>
  <si>
    <t>Rency Jacob</t>
  </si>
  <si>
    <t>ravindracallacpoly@gmail.com</t>
  </si>
  <si>
    <t>Parmeshwar Bihani</t>
  </si>
  <si>
    <t>parmeshwarbihani3@gmail.com</t>
  </si>
  <si>
    <t>T RETHINAVALLI</t>
  </si>
  <si>
    <t>finance@swissgarnier.com</t>
  </si>
  <si>
    <t>sk@dcxindia.com</t>
  </si>
  <si>
    <t>IVR A4+ (INC)</t>
  </si>
  <si>
    <t>Ashish Sharma</t>
  </si>
  <si>
    <t>ganapathy@shareindia.com</t>
  </si>
  <si>
    <t>Dr. Arun Mehra</t>
  </si>
  <si>
    <t>drarunmehra@hotmail.com</t>
  </si>
  <si>
    <t>Chetanbhai Kalaria -9825495563</t>
  </si>
  <si>
    <t>zandrosgranito@gmail.com</t>
  </si>
  <si>
    <t>Shinde Sir</t>
  </si>
  <si>
    <t>jagrutisugar@gmail.com</t>
  </si>
  <si>
    <t>5/31/2021</t>
  </si>
  <si>
    <t>Mr.Praveen Kumar &lt;finance@ulccsltd.com&gt;</t>
  </si>
  <si>
    <t>M.Shaktivel</t>
  </si>
  <si>
    <t>accounts@sridevarajaagro.com</t>
  </si>
  <si>
    <t>Charmey Shah</t>
  </si>
  <si>
    <t xml:space="preserve">Charmey.shah@nisaeye.com </t>
  </si>
  <si>
    <t>IVR A4;INC</t>
  </si>
  <si>
    <t>Mr. Sandip Ghosh</t>
  </si>
  <si>
    <t>mtfextrusions@gmail.com</t>
  </si>
  <si>
    <t>9/15/2021</t>
  </si>
  <si>
    <t>Mr.Deepak Ahluwalia</t>
  </si>
  <si>
    <t>amit.bohra@safl.in</t>
  </si>
  <si>
    <t>Akhilesh Gupta</t>
  </si>
  <si>
    <t>akhileshgupta@smartwife.in</t>
  </si>
  <si>
    <t>rupesh@harmanfinochem.com</t>
  </si>
  <si>
    <t>Mr. Alok Tiwary-7498603458</t>
  </si>
  <si>
    <t>alok.tiwary@futuregroup.in</t>
  </si>
  <si>
    <t>Tushar Jagtap-7045695474</t>
  </si>
  <si>
    <t xml:space="preserve">tushar.jagtap@advancedmobile.in </t>
  </si>
  <si>
    <t>archit.bartaria@asfinfrastructure.com, dinesh.jain@asfinfrastructure.com, prannoy.kumar@asfinfrastructure.com</t>
  </si>
  <si>
    <t>grvmht10@gmail.com, ayush@ayushandassociates.com</t>
  </si>
  <si>
    <t>9/17/2024</t>
  </si>
  <si>
    <t>Shruthi Kumar</t>
  </si>
  <si>
    <t>Mr. Atul Mantri  &lt;bhaktisoya@gmail.com&gt;</t>
  </si>
  <si>
    <t>M SITARAMAIAH &lt;info@icmtex.com&gt;</t>
  </si>
  <si>
    <t>3/22/2021</t>
  </si>
  <si>
    <t>raghava.constructions@gmail.com</t>
  </si>
  <si>
    <t>8/22/2023</t>
  </si>
  <si>
    <t>Ganpathy</t>
  </si>
  <si>
    <t>archit@ruparel.in'</t>
  </si>
  <si>
    <t>sghosh@ewgroup.in</t>
  </si>
  <si>
    <t>Sonal Bajaj</t>
  </si>
  <si>
    <t>pf@pkmg.co.in</t>
  </si>
  <si>
    <t>Narendra Mallawat</t>
  </si>
  <si>
    <t>finance@shyamfashion.com,saurav@shyamfashion.com</t>
  </si>
  <si>
    <t>Mr. Vikash Kumar</t>
  </si>
  <si>
    <t>cspl2005@yahoo.com</t>
  </si>
  <si>
    <t>Mr. Keshav Agarwal</t>
  </si>
  <si>
    <t>narsimhairon@gmail.com</t>
  </si>
  <si>
    <t>karn.gaikwad@phntechnology.com
kiran.ghanate@phntechnology.com</t>
  </si>
  <si>
    <t>Ms. Anmol jolly &lt;anmol.jolly@compuageindia.com&gt;</t>
  </si>
  <si>
    <t>10/27/2025</t>
  </si>
  <si>
    <t>Ms. Nandini Raghoji &lt;nandiniraghoji.2192@gmail.com&gt;; Ramachandra Raghoji &lt;birdevfinance.fin@gmail.com</t>
  </si>
  <si>
    <t>Sachin Shinde</t>
  </si>
  <si>
    <t>shinde.sachin9@gmail.com, isml.sugar@gmail.com</t>
  </si>
  <si>
    <t>Mr. Santosh Wagle</t>
  </si>
  <si>
    <t>santoshwagleicedd@gmail.com</t>
  </si>
  <si>
    <t>Mr. SASANTH SANKER  -9744722039</t>
  </si>
  <si>
    <t>accts@silpa.in</t>
  </si>
  <si>
    <t>fin@mepinfra.com
sakadam@mepinfra.com</t>
  </si>
  <si>
    <t>Angela Sarna</t>
  </si>
  <si>
    <t>Mr. Naveen Kumar</t>
  </si>
  <si>
    <t>Mr. Milind Murudkar</t>
  </si>
  <si>
    <t>bdm@apipl.co.in</t>
  </si>
  <si>
    <t>Ms. Punitha K</t>
  </si>
  <si>
    <t>IVR A4</t>
  </si>
  <si>
    <t>D. P. Borhade</t>
  </si>
  <si>
    <t>fintax@smbt.edu.in</t>
  </si>
  <si>
    <t>Ms. G Sujata GM</t>
  </si>
  <si>
    <t>akash_nangia@sislinfotech.com, rohit_garg@sislinfotech.com, ranjeet_yadav@sislinfotech.com, hemant_chansoriya@sislinfotech.com&gt;</t>
  </si>
  <si>
    <t>account@saveraengineering.com</t>
  </si>
  <si>
    <t>gsr@klsrinfratech.com</t>
  </si>
  <si>
    <t>Vinay Agarwal</t>
  </si>
  <si>
    <t>March 27, 2019</t>
  </si>
  <si>
    <t>Vijay Chugh</t>
  </si>
  <si>
    <t>anil@worldswindow.cc</t>
  </si>
  <si>
    <t>October 5, 2023</t>
  </si>
  <si>
    <t>Shri Girdhari Lal Khandelwal</t>
  </si>
  <si>
    <t>rasikproducts@gmail.com</t>
  </si>
  <si>
    <t>Anil Mishra</t>
  </si>
  <si>
    <t>juneja@poggenamp.com</t>
  </si>
  <si>
    <t>Raventh</t>
  </si>
  <si>
    <t>chairman@thebharathgroup.com</t>
  </si>
  <si>
    <t>Ramesh Piprottar</t>
  </si>
  <si>
    <t>account@rkcotspin.com</t>
  </si>
  <si>
    <t>IVR BB</t>
  </si>
  <si>
    <t>Satish Manohar Jathar</t>
  </si>
  <si>
    <t>jathargroup@rediffmail.com</t>
  </si>
  <si>
    <t>VINODKUMAR UMASANKAR SINGH</t>
  </si>
  <si>
    <t>kgoibhainsa@gmail.com</t>
  </si>
  <si>
    <t>Ashishkumar Fulchand Goyal</t>
  </si>
  <si>
    <t>skkunimbhora@rediffmail.com</t>
  </si>
  <si>
    <t>Jai Chotalia</t>
  </si>
  <si>
    <t>miracleenterprise07@gmail.com</t>
  </si>
  <si>
    <t>Abhishek Goyal</t>
  </si>
  <si>
    <t>aidplindore@gmail.com</t>
  </si>
  <si>
    <t>Tax Chemtrade &lt;tax@chemtrade.in&gt;; Jatin Shah &lt;jatin@chemtrade.in&gt;</t>
  </si>
  <si>
    <t>Rajesh Hamdev</t>
  </si>
  <si>
    <t xml:space="preserve">acc.reinfra@gmail.com </t>
  </si>
  <si>
    <t>Mr. Samanthapudi Suryanarayana Raju</t>
  </si>
  <si>
    <t xml:space="preserve">samanthapudi_9000@yahoo.co.in </t>
  </si>
  <si>
    <t>10/29/2025</t>
  </si>
  <si>
    <t>simita@vfscapital.in</t>
  </si>
  <si>
    <t>Neha Kothari &lt;accounts@dmgpolypack.com&gt;</t>
  </si>
  <si>
    <t>4/13/2019</t>
  </si>
  <si>
    <t>accounts@fortunechem.in; Mr. Navneet &lt;gm@fortunechem.in&gt;</t>
  </si>
  <si>
    <t>Ms. Olee Das</t>
  </si>
  <si>
    <t>oleebnc89@gmail.com</t>
  </si>
  <si>
    <t>Mr. Mohit Chadda</t>
  </si>
  <si>
    <t>manikanta.ch@shrushtigroup.com
 raja@shrushtigroup.com
madhu@shrushtigroup.com
rajini.p@shrushtigroup.com
maruthi.m@shrushtigroup.com</t>
  </si>
  <si>
    <t>guptaelr@gmail.com</t>
  </si>
  <si>
    <t>ashish.aggarwal@worldswindow.com</t>
  </si>
  <si>
    <t>sujatha@sattvaengg.in</t>
  </si>
  <si>
    <t>INTERNAL AUDITOR &lt;cfo@ultracab.in&gt;; pankaj.shingala@ultracab.in</t>
  </si>
  <si>
    <t>Ms. Nikita Wakchaure-7020494378</t>
  </si>
  <si>
    <t xml:space="preserve">jaihindsugar@gmail.com </t>
  </si>
  <si>
    <t>Vijaykumar Savarikar - 9011592154</t>
  </si>
  <si>
    <t>account@jaywantsugars.com, cfojaywantsugars@gmail.com</t>
  </si>
  <si>
    <t>Mr.Virender Rawat-9560273021</t>
  </si>
  <si>
    <t>financechrysalis5@gmail.com</t>
  </si>
  <si>
    <t>sachin.t@cmll.in</t>
  </si>
  <si>
    <t>Mr Jatin P Patel</t>
  </si>
  <si>
    <t>jatinpatel434@gmail.com</t>
  </si>
  <si>
    <t>Supriti Sabat</t>
  </si>
  <si>
    <t>accounts@iitanspace.com</t>
  </si>
  <si>
    <t xml:space="preserve">Manoj Prabhakar </t>
  </si>
  <si>
    <t>bestbluemetals@gmail.com</t>
  </si>
  <si>
    <t>Anuj Agrawal</t>
  </si>
  <si>
    <t xml:space="preserve">sunnwindinfra@gmail.com </t>
  </si>
  <si>
    <t>Ms. Sushmita Nayak</t>
  </si>
  <si>
    <t>tirumalatirupatiricemill.ada@gmail.com</t>
  </si>
  <si>
    <t>Maya Jamdar</t>
  </si>
  <si>
    <t xml:space="preserve">jaihindfeeds@gmail.com </t>
  </si>
  <si>
    <t>Rakesh Chadda - 9820212120, Jagdish Nathani- 9167 128362</t>
  </si>
  <si>
    <t>raakesh@princeware.net, jagdishnathani@princeware.net</t>
  </si>
  <si>
    <t>Anoj Agarwala</t>
  </si>
  <si>
    <t>anojagarwala@rediffmail.com</t>
  </si>
  <si>
    <t>Arun Naik</t>
  </si>
  <si>
    <t>qualityexportsgoa@gmail.com</t>
  </si>
  <si>
    <t>irpinfratech@yahoo.in</t>
  </si>
  <si>
    <t>shriniwasspintex@gmail.com</t>
  </si>
  <si>
    <t>headoffice@thekutegroup.com</t>
  </si>
  <si>
    <t>Jitendra Prajapat</t>
  </si>
  <si>
    <t>ac1@sarnachemicals.com</t>
  </si>
  <si>
    <t>Ms. Reshmi Pal</t>
  </si>
  <si>
    <t xml:space="preserve">cashmppgcl@gmail.com </t>
  </si>
  <si>
    <t>March 28, 2019</t>
  </si>
  <si>
    <t>accounts@melzerspeciality.com</t>
  </si>
  <si>
    <t>Abhishek Jain-9911181120</t>
  </si>
  <si>
    <t>abhishekjain@rcapparels.com</t>
  </si>
  <si>
    <t>headoffice@thekutegroup.com
sachin.patni@tirumallaoil.com
ashishptdkr@gmail.com</t>
  </si>
  <si>
    <t>goelnakul@gmail.com, accounts@dhansamridhi.com</t>
  </si>
  <si>
    <t>cs@khfm.in</t>
  </si>
  <si>
    <t>6/28/2023</t>
  </si>
  <si>
    <t>nikita@indiahomeloan.co.in, maulesh.p@indiahomeloan.in</t>
  </si>
  <si>
    <t xml:space="preserve">iqramicrofinancefederation@gmail.com </t>
  </si>
  <si>
    <t>swadhafinlease@gmail.com</t>
  </si>
  <si>
    <t>mundhesuyesh955@gmail.com</t>
  </si>
  <si>
    <t>Amrit Lal Shah</t>
  </si>
  <si>
    <t>eagleamritlal@yahoo.in,info@eaglesteels.com</t>
  </si>
  <si>
    <t>pawan@seagull-global.com</t>
  </si>
  <si>
    <t>Mr. Shrinivas - 9850308030</t>
  </si>
  <si>
    <t>ravi@heerabgroup.com</t>
  </si>
  <si>
    <t>annairesorts@gmail.com</t>
  </si>
  <si>
    <t>satyam@etomotors.com</t>
  </si>
  <si>
    <t>susheeprojects@yahoo.in</t>
  </si>
  <si>
    <t>Jitendra Verma</t>
  </si>
  <si>
    <t>jatin@vamicaresorts.com;vamicaresort003@gmail.com</t>
  </si>
  <si>
    <t>Amol Palkar</t>
  </si>
  <si>
    <t>shreemahesh.spin@yahoo.in</t>
  </si>
  <si>
    <t>finance@enzotech.co.in</t>
  </si>
  <si>
    <t>Arun</t>
  </si>
  <si>
    <t>arun@radiantindia.net</t>
  </si>
  <si>
    <t>Mangesh Annachhatre</t>
  </si>
  <si>
    <t>mangesha@womindia.com</t>
  </si>
  <si>
    <t>Hitesh Joshi</t>
  </si>
  <si>
    <t xml:space="preserve">accvfmpl@gmail.com </t>
  </si>
  <si>
    <t>12/22/2023</t>
  </si>
  <si>
    <t>sunil.anandpara@dhwaja.com</t>
  </si>
  <si>
    <t>Mr. Amlam - 9820067565</t>
  </si>
  <si>
    <t>admin@samratex.com, finance@samratex.com, dinesh.accounts@samratex.com, raj@samratex.com</t>
  </si>
  <si>
    <t>IVR BB- INC</t>
  </si>
  <si>
    <t xml:space="preserve">Nikitha - Accts manager </t>
  </si>
  <si>
    <t>accmgr2@iclfincorp.com</t>
  </si>
  <si>
    <t>Neeta Tanpure</t>
  </si>
  <si>
    <t>neeta@pkpharma.com</t>
  </si>
  <si>
    <t>tmeonline@gmail.com</t>
  </si>
  <si>
    <t>2/27/2026</t>
  </si>
  <si>
    <t>sonal.bajaj@arthmate.com</t>
  </si>
  <si>
    <t>gaurav.vora@laxmidiajewel.com</t>
  </si>
  <si>
    <t>aparna@premierenergies.com</t>
  </si>
  <si>
    <t>Rajesh Shripati Tadav-9820909039</t>
  </si>
  <si>
    <t>director@thegoldrushgroup.com, "Siddharth" &lt;gmadmin_fin@thegoldrushgroup.com&gt;, accounts_ho@thegoldrushgroup.com, "utaneja1" &lt;utaneja1@gmail.com&gt;</t>
  </si>
  <si>
    <t>ranjeetha@pressmach.com, compliance@pressmach.com, sunilkumar@pressmach.com</t>
  </si>
  <si>
    <t>Subramaniam Sivakumar</t>
  </si>
  <si>
    <t>venmalarwindenergy@gmail.com</t>
  </si>
  <si>
    <t>Mahaveer</t>
  </si>
  <si>
    <t xml:space="preserve">advocate991@gmail.com </t>
  </si>
  <si>
    <t>Mr. Patil</t>
  </si>
  <si>
    <t>sharad_sakhar@rediffmail.com</t>
  </si>
  <si>
    <t>2/17/2023</t>
  </si>
  <si>
    <t>umesh@adhikarindia.org</t>
  </si>
  <si>
    <t>jugal@samparkfin.in</t>
  </si>
  <si>
    <t>Ashish Aggarwal</t>
  </si>
  <si>
    <t xml:space="preserve">ashish.aggarwal@worldswindow.com </t>
  </si>
  <si>
    <t>Devrishi Viyan - 9969522952, Mr Mayank Agarwalla - 7760022929, Ritesh - 9810500076</t>
  </si>
  <si>
    <t>devrishi.v@unitern.com, ritesh@unitern.com, agarwalla.mayank@gmail.com, profwallet@gmail.com</t>
  </si>
  <si>
    <t>Nagamuni Reddy</t>
  </si>
  <si>
    <t>compliance@ssdpl.in;nagamuni.reddy@ssdpl.in</t>
  </si>
  <si>
    <t>BVSS Rama Rao</t>
  </si>
  <si>
    <t>hemasundar.t@kmcgroup.co.in / ramarao.boddapati@kmcgroup.com</t>
  </si>
  <si>
    <t>Ridhesh Patel</t>
  </si>
  <si>
    <t>kajol@armee.in</t>
  </si>
  <si>
    <t>cs.uditinfraworld@gmail.com</t>
  </si>
  <si>
    <t xml:space="preserve">
srikanth.retoju@gmail.com</t>
  </si>
  <si>
    <t>gsk.sivaguruspgm@gmail.com</t>
  </si>
  <si>
    <t>Ranjit Parihar</t>
  </si>
  <si>
    <t>admin@metalcare.co.in</t>
  </si>
  <si>
    <t>3/26/2020</t>
  </si>
  <si>
    <t>animeshnaiya@dcbs.in</t>
  </si>
  <si>
    <t>4/30/2025</t>
  </si>
  <si>
    <t>admin@glowmore.finance, md@glowmore.finance</t>
  </si>
  <si>
    <t>padmavatichainspl@gmail.com,finance@pcandj.com,padmavatichainspl@gmail.com</t>
  </si>
  <si>
    <t>Mr  Amol Prabhu-9819475589</t>
  </si>
  <si>
    <t>amol.prabhu@mmepl.in</t>
  </si>
  <si>
    <t> Mr. Pratik Singh-	9920213111</t>
  </si>
  <si>
    <t xml:space="preserve">dinesh.metcon@gmail.com </t>
  </si>
  <si>
    <t>kgpjewellers1@gmail.com</t>
  </si>
  <si>
    <t>accounts@theaims.ac.in</t>
  </si>
  <si>
    <t>AbhijIt Jadav</t>
  </si>
  <si>
    <t>abhijit.jadhav@uniqueuhpcinfra.com;accounts@lssplindia.com</t>
  </si>
  <si>
    <t>Snehal Shah</t>
  </si>
  <si>
    <t>snehal@mokshabobbins.com</t>
  </si>
  <si>
    <t>Bruendra Singh</t>
  </si>
  <si>
    <t>santhagarik@gmail.com</t>
  </si>
  <si>
    <t>anusayapolyproducts@gmail.com'</t>
  </si>
  <si>
    <t>bhatiatrading@gmail.com'
'bhatiatrading10@gmail.com'</t>
  </si>
  <si>
    <t>8/18/2021</t>
  </si>
  <si>
    <t>Mr. Bharat J. Tiwari' &lt;jay.formulations@yahoo.co.in&gt;</t>
  </si>
  <si>
    <t>cs@worldswindow.cc</t>
  </si>
  <si>
    <t>info@jaideepraj.com
finance@jaideepraj.com</t>
  </si>
  <si>
    <t>Mr. M. K. Thomas</t>
  </si>
  <si>
    <t>raju.vaidyan@gmail.com</t>
  </si>
  <si>
    <t xml:space="preserve">Rajesh Duggad </t>
  </si>
  <si>
    <t>radiancealloys18@gmail.com</t>
  </si>
  <si>
    <t xml:space="preserve">Amit gupta </t>
  </si>
  <si>
    <t>accounts@surajinformatics.com</t>
  </si>
  <si>
    <t>Mahesh Petluru</t>
  </si>
  <si>
    <t>Mahesh.petluru@bfgindia.com</t>
  </si>
  <si>
    <t>MR. ANIL CHOPRA</t>
  </si>
  <si>
    <t>archit.bartaria@asfinfrastructure.com</t>
  </si>
  <si>
    <t>Mr Datia</t>
  </si>
  <si>
    <t>acsridatia@gmail.com</t>
  </si>
  <si>
    <t>Mr. G Kumar</t>
  </si>
  <si>
    <t>gkumarbmw@gmail.com</t>
  </si>
  <si>
    <t>Mr. J.Santhoosh-9659255555</t>
  </si>
  <si>
    <t xml:space="preserve">
md@srjungleresort.com</t>
  </si>
  <si>
    <t xml:space="preserve">Karan Narendra Kothari </t>
  </si>
  <si>
    <t>accounts@kkbp.in</t>
  </si>
  <si>
    <t>3/13/2024</t>
  </si>
  <si>
    <t>Dinesh Agrawal' &lt;jalna.siddhivinayak@gmail.com&gt;</t>
  </si>
  <si>
    <t>Mr.Namankumar Kanubhai Trapsia &lt;tassoscons@gmail.com&gt;</t>
  </si>
  <si>
    <t>Subash Bansal</t>
  </si>
  <si>
    <t>skb@kksil.com</t>
  </si>
  <si>
    <t>Mr. Sanjay Jain</t>
  </si>
  <si>
    <t>jainsanjay.jain8@gmail.com</t>
  </si>
  <si>
    <t>Subhankar Kanungo</t>
  </si>
  <si>
    <t>newleaftea@gmail.com</t>
  </si>
  <si>
    <t>Arun Shukla</t>
  </si>
  <si>
    <t>finance@ariahotels.in,nupur.garg@ariahotels.in,arun.shukla@ariahotels.in</t>
  </si>
  <si>
    <t>Brahman D</t>
  </si>
  <si>
    <t xml:space="preserve">4sspintexipl@gmail.com </t>
  </si>
  <si>
    <t>Chetan Sharma</t>
  </si>
  <si>
    <t xml:space="preserve">accounts@velmedhospitals.com </t>
  </si>
  <si>
    <t>Krishan Gautam</t>
  </si>
  <si>
    <t>drakenmetals@gmail.com</t>
  </si>
  <si>
    <t>Jitendra Agarwal</t>
  </si>
  <si>
    <t xml:space="preserve">accounts.sharma@hzspl.in </t>
  </si>
  <si>
    <t>Bajrang Lal Jhedu</t>
  </si>
  <si>
    <t xml:space="preserve">mayaconst@gmail.com </t>
  </si>
  <si>
    <t>rajg@smgroup.co.in</t>
  </si>
  <si>
    <t>timesinfrabuild@gmail.com</t>
  </si>
  <si>
    <t>Prem Chand Gupta</t>
  </si>
  <si>
    <t>olympusmetal@hotmail.com</t>
  </si>
  <si>
    <t>World Wide Metals Private Limited</t>
  </si>
  <si>
    <t>worldwidemetals2015@gmail.com</t>
  </si>
  <si>
    <t>MT Patil Builders &amp; Contractors Private limited</t>
  </si>
  <si>
    <t>Yogesh Tajanpure</t>
  </si>
  <si>
    <t>msmtpatil@gmail.com</t>
  </si>
  <si>
    <t>Sentini Flopipes India Private Limited</t>
  </si>
  <si>
    <t>IVR BB-</t>
  </si>
  <si>
    <t>BV Ranga Nayakulu</t>
  </si>
  <si>
    <t>gmf@sentiniflopipes.com</t>
  </si>
  <si>
    <t>Adwalpalkar Construction and Resorts Private Limited</t>
  </si>
  <si>
    <t>Ujjval Desai</t>
  </si>
  <si>
    <t>adwalpalkar.finance@gmail.com</t>
  </si>
  <si>
    <t>Dynamic Air Engineering Private Limited</t>
  </si>
  <si>
    <t>Mr. Karthik</t>
  </si>
  <si>
    <t>dynamicairindia@gmail.com</t>
  </si>
  <si>
    <t>Piotex Textech Private Limited </t>
  </si>
  <si>
    <t>Abhay Asalkar</t>
  </si>
  <si>
    <t xml:space="preserve">abhay@piotex.in </t>
  </si>
  <si>
    <t>DEVARAJAN K- 9952839549</t>
  </si>
  <si>
    <t>dhanalakshmispintex@gmail.com</t>
  </si>
  <si>
    <t>Kamco Chew Food Pvt Ltd</t>
  </si>
  <si>
    <t>Mr. Vijay Jaiswani</t>
  </si>
  <si>
    <t>ca.kcfpl@gmail.com</t>
  </si>
  <si>
    <t>Kalpit Agarwal</t>
  </si>
  <si>
    <t>Raviraj Foils Limited</t>
  </si>
  <si>
    <t>IVR B (INC) - Downgraded,</t>
  </si>
  <si>
    <t>IVR A4 (INC) - Reaffirmed</t>
  </si>
  <si>
    <t>Prabhesh Kumar Singh</t>
  </si>
  <si>
    <t>hirenshah@ravirajfoils.com, tjain@ravirajfoils.com</t>
  </si>
  <si>
    <t>Jasveer Singh Gohlan</t>
  </si>
  <si>
    <t>Quick Builders</t>
  </si>
  <si>
    <t>IVR B+; INC</t>
  </si>
  <si>
    <t>quick_dks@yahoo.co.in</t>
  </si>
  <si>
    <t>Amit Kumar Srivastava</t>
  </si>
  <si>
    <t>Sagar Deposits and Advances Limited</t>
  </si>
  <si>
    <t>Ashish Sharma &lt;ashishsharma@sdal.in&gt;</t>
  </si>
  <si>
    <t>Jaidev</t>
  </si>
  <si>
    <t>Chetana Financial Services Private Limited</t>
  </si>
  <si>
    <t>finance@chetanafinancial.in &lt;finance@chetanafinancial.in&gt;</t>
  </si>
  <si>
    <t>Baseera Banu</t>
  </si>
  <si>
    <t>Navachetana Microfinance Services Private Limited</t>
  </si>
  <si>
    <t>ullas.kooli@navachetanagroup.com</t>
  </si>
  <si>
    <t>Radius and Deserve Land Developers Private Limited (NCD</t>
  </si>
  <si>
    <t>yogeshwarn@radiusdevelopers.com</t>
  </si>
  <si>
    <t>Kuldeep Kumar Arora</t>
  </si>
  <si>
    <t>Pristine Commercial Private Limited</t>
  </si>
  <si>
    <t>IVR BB+;(INC)</t>
  </si>
  <si>
    <t>IVR A3 (INC)</t>
  </si>
  <si>
    <t>accounts@pristinecommercials.com</t>
  </si>
  <si>
    <t>APRN Enterprises Private Limited</t>
  </si>
  <si>
    <t>Nirmal Sharma</t>
  </si>
  <si>
    <t>nirmalsharma@ansapack.com</t>
  </si>
  <si>
    <t>Avtar Installments Private Limited</t>
  </si>
  <si>
    <t>AKHILESH BHOSLE</t>
  </si>
  <si>
    <t>compilance@avtarone.com, avtarinstalmentspvtltd@gmail.com</t>
  </si>
  <si>
    <t>Devendra Singh</t>
  </si>
  <si>
    <t>1.	Ms. Sowmya Nayak – Mobile no : 9880942696 , 2.	Mr. Renjith RS – Mobile no.: 7625092517 , 5.	Ms. Reshmi Nair– Mobile no. : 9970747234</t>
  </si>
  <si>
    <t>sowmya.nayak@manipalgroup.info, renjith.rs@manipalgroup.info, kiran.shetty@primacyind.com, kamath@primacyind.com</t>
  </si>
  <si>
    <t>Murugavilas Textile</t>
  </si>
  <si>
    <t>kavin@murugavilas.com</t>
  </si>
  <si>
    <t>Musaddilal Jewellers Private Limited</t>
  </si>
  <si>
    <t>accounts.ho@mjpl.biz</t>
  </si>
  <si>
    <t>Spinora Tiles Private Limited</t>
  </si>
  <si>
    <t>Rajendra Thakkar</t>
  </si>
  <si>
    <t>spinoratiles.acc@gmail.com</t>
  </si>
  <si>
    <t>Dheeraj Jaiswal</t>
  </si>
  <si>
    <t>Valentis Cancer Care Hospital Private Limited</t>
  </si>
  <si>
    <t>skkumarco@gmail.com</t>
  </si>
  <si>
    <t>Pulkit Tyagi</t>
  </si>
  <si>
    <t>Shree Vagheshwari Roadways</t>
  </si>
  <si>
    <t>rbgagal@gmail.com</t>
  </si>
  <si>
    <t>Divyesh Kantilal Jadav</t>
  </si>
  <si>
    <t>Shalimar Corp Limited</t>
  </si>
  <si>
    <t>finance@shalimar.org, deepak.gaur@shalimar.org</t>
  </si>
  <si>
    <t>Sian Infra and Realcon LLP</t>
  </si>
  <si>
    <t>vinay@sianinfra.com</t>
  </si>
  <si>
    <t>Ujjain Jaora Tollways Private Limited (UJTPL)</t>
  </si>
  <si>
    <t>S Neeraj -9833106655</t>
  </si>
  <si>
    <t>sneeraj07@hotmail.com</t>
  </si>
  <si>
    <t>Vikas Sharma</t>
  </si>
  <si>
    <t>Shalimar Malls Private Limited</t>
  </si>
  <si>
    <t>Prabhat Khare</t>
  </si>
  <si>
    <t>Prestige Properties</t>
  </si>
  <si>
    <t>accounting@thesilvergroup.co.in,forum@thesilvergroup.co.in</t>
  </si>
  <si>
    <t>Indo Global Soft Solutions and Technologies Private Limited</t>
  </si>
  <si>
    <t>ronitp@radiusdevelopers.com', 'mehulk@radiusdevelopers.com'</t>
  </si>
  <si>
    <t>Pratim Banerjii</t>
  </si>
  <si>
    <t>G Shankar</t>
  </si>
  <si>
    <t>gundmishanker@gmail.com</t>
  </si>
  <si>
    <t>Sathisha NS</t>
  </si>
  <si>
    <t>Finolite Ceramics</t>
  </si>
  <si>
    <t>finoliteceramic@gmail.com</t>
  </si>
  <si>
    <t xml:space="preserve">Seacoast Shipping Services Limited </t>
  </si>
  <si>
    <t>Manish Shah</t>
  </si>
  <si>
    <t>manish@seacoastsms.com,finance@seacoastsms.com</t>
  </si>
  <si>
    <t>Bharti Foods</t>
  </si>
  <si>
    <t>Piyush Sachnai - 9326841214</t>
  </si>
  <si>
    <t>bhartifood2016@gmail.com,        sachani.peeyush@gmail.com</t>
  </si>
  <si>
    <t>Bharti Industries</t>
  </si>
  <si>
    <t>bhartifood2016@gmail.com        sachani.peeyush@gmail.com</t>
  </si>
  <si>
    <t>Prateek Apparels Private Limited</t>
  </si>
  <si>
    <t>Mr. Sanjay Agarwal</t>
  </si>
  <si>
    <t>cs@prateekapparels.com</t>
  </si>
  <si>
    <t>B K Bajaj</t>
  </si>
  <si>
    <t>Sree Rengaraj Ispat Industries Private Limited</t>
  </si>
  <si>
    <t>chandru18@sriipl.com</t>
  </si>
  <si>
    <t>K Sudhakar</t>
  </si>
  <si>
    <t>Paawan Energy India Private Limited</t>
  </si>
  <si>
    <t>Akshay deep</t>
  </si>
  <si>
    <t>info@paawanenergy.com</t>
  </si>
  <si>
    <t>Vidhi Kanojia</t>
  </si>
  <si>
    <t>Jayanti Super Construction Private Limited</t>
  </si>
  <si>
    <t>super_co1234@yahoo.in</t>
  </si>
  <si>
    <t>Nikhil Adhesives Limited</t>
  </si>
  <si>
    <t>pooja@nikhiladhesives.com; chandrahas.salian@nikhiladhesives.com, raju.sanghavi@nikhiladhesives.com</t>
  </si>
  <si>
    <t>Amulya Sea Foods</t>
  </si>
  <si>
    <t>SATHIAMOORTHY A</t>
  </si>
  <si>
    <t>nilabank@nilaseafoods.com</t>
  </si>
  <si>
    <t>Sankar sai consumer products</t>
  </si>
  <si>
    <t>neelameena@rediffmail.com</t>
  </si>
  <si>
    <t>K Suresh Babu</t>
  </si>
  <si>
    <t>Everrenew Energy Private Limited</t>
  </si>
  <si>
    <t>R Ranganathan</t>
  </si>
  <si>
    <t>ranganathan.r@ntcgroup.in</t>
  </si>
  <si>
    <t>Bogmallo Enterprises Private Limited</t>
  </si>
  <si>
    <t>Abhijit Vaze</t>
  </si>
  <si>
    <t>abhijit.vaze1979@gmail.com</t>
  </si>
  <si>
    <t>Stree Nidhi Credit Co-operative Federation Limited (Telangana)</t>
  </si>
  <si>
    <t>GVBD Hari Prasad</t>
  </si>
  <si>
    <t xml:space="preserve">dgmfm@streenidhi.in , cm1.funds@streenidhi.in </t>
  </si>
  <si>
    <t>M. Hari Babu</t>
  </si>
  <si>
    <t>PVR Spinning and Weaving Limited</t>
  </si>
  <si>
    <t>Mr. D Srikant</t>
  </si>
  <si>
    <t xml:space="preserve">
9849910454</t>
  </si>
  <si>
    <t>dsrikanth@pvrgroup.com</t>
  </si>
  <si>
    <t>Udari Srinivas</t>
  </si>
  <si>
    <t>Vishnu Enterprises </t>
  </si>
  <si>
    <t>Pramod kumar aggarawal</t>
  </si>
  <si>
    <t>info@vishnujewellery.com</t>
  </si>
  <si>
    <t>Bright Packaging Private Limited</t>
  </si>
  <si>
    <t>sudha@brightpackaging.in</t>
  </si>
  <si>
    <t>Fusion Industries Limited</t>
  </si>
  <si>
    <t>6/14/2023</t>
  </si>
  <si>
    <t>Mr. Aditya Gupta  &lt;gmfinance@fusionpipes.com&gt;</t>
  </si>
  <si>
    <t>Raj Kiran Kumar</t>
  </si>
  <si>
    <t>Ayyappa Cotton Mills Private Limited</t>
  </si>
  <si>
    <t>Ramakrishna</t>
  </si>
  <si>
    <t>mramakrishna79@gmail.com</t>
  </si>
  <si>
    <t>DDN SFA Limited</t>
  </si>
  <si>
    <t>Mr. Abhijeet</t>
  </si>
  <si>
    <t>ea@padmagroup.org</t>
  </si>
  <si>
    <t>GOC Petrochemicals Private Limited</t>
  </si>
  <si>
    <t>vinod@goldoilcorporation.com</t>
  </si>
  <si>
    <t>Shree Ram Proteins Limited</t>
  </si>
  <si>
    <t>6/14/2022</t>
  </si>
  <si>
    <t>shree_ramcotton@yahoo.com'</t>
  </si>
  <si>
    <t>Suriya Spinning Mills</t>
  </si>
  <si>
    <t>suriya2003@gmail.com</t>
  </si>
  <si>
    <t>K. Vishnu Narasimhan</t>
  </si>
  <si>
    <t>Inditrade Microfinance Limited</t>
  </si>
  <si>
    <t>KAPIL GUPTA</t>
  </si>
  <si>
    <t>accounts.iml@inditrade.com</t>
  </si>
  <si>
    <t>Sakshi Keswani</t>
  </si>
  <si>
    <t>Aristo Securities Private Limited</t>
  </si>
  <si>
    <t>angela.sarna@revfin.in</t>
  </si>
  <si>
    <t>Valencia and Mishal Ventures Private Limited</t>
  </si>
  <si>
    <t>ankit.shah@shethcreators.com</t>
  </si>
  <si>
    <t>Rituparna Roy</t>
  </si>
  <si>
    <t>Next PR Date</t>
  </si>
  <si>
    <t>(All)</t>
  </si>
  <si>
    <t>finance@sayyaminvestments.in, rajendra.yadav@sayyaminvestments.in, vivek@sayyaminvestments.in</t>
  </si>
  <si>
    <t>Rahul Cables Private Limited</t>
  </si>
  <si>
    <t xml:space="preserve">Sachin Shingte </t>
  </si>
  <si>
    <t>9325989814/ 9867926785</t>
  </si>
  <si>
    <t>sachin@rahulcable.com; rupal.shionkar@rahulcable.com; mbk@rahulcable.com; suhas.sawant@rahulcable.com</t>
  </si>
  <si>
    <t>Withdrawn</t>
  </si>
  <si>
    <t>Greenworth Infrastructure Private Limited</t>
  </si>
  <si>
    <t>Millennium Tiles LLP</t>
  </si>
  <si>
    <t>Prashanth Poultry Private Limited</t>
  </si>
  <si>
    <t>Enn Enn Corp Limited</t>
  </si>
  <si>
    <t>IVR A- /Negative; INC</t>
  </si>
  <si>
    <t>IVR BB+ /Negative; INC</t>
  </si>
  <si>
    <t>IVR BB /Negative; INC</t>
  </si>
  <si>
    <t>IVR BB(CE) /Negative; INC</t>
  </si>
  <si>
    <t>IVR BB- /Negative; INC</t>
  </si>
  <si>
    <t>IVR BB-(CE) /Negative; INC</t>
  </si>
  <si>
    <t>IVR B+ /Negative; INC</t>
  </si>
  <si>
    <t>IVR B /Negative; INC</t>
  </si>
  <si>
    <t>IVR B- /Negative; INC</t>
  </si>
  <si>
    <t>IVR C+ /Negative; INC</t>
  </si>
  <si>
    <t>IVR C /Negative; INC</t>
  </si>
  <si>
    <t>IVR C- /Negative; INC</t>
  </si>
  <si>
    <t>IVR BB- /Negative (INC)</t>
  </si>
  <si>
    <t>IVR C- /Negative (INC)</t>
  </si>
  <si>
    <t>IVR BB-;INC /Negative</t>
  </si>
  <si>
    <t>IVR B- /Negative(INC)</t>
  </si>
  <si>
    <t>IVR B+ /Negative (INC)</t>
  </si>
  <si>
    <t>milindm2@saisanket.com, 
vinayak@saisanket.com, 
account@saisanket.com</t>
  </si>
  <si>
    <t>Apollo Green Energy Limited</t>
  </si>
  <si>
    <t>Manish Dhir and Rakesh Gupta</t>
  </si>
  <si>
    <t>9823861621 and 9810091515</t>
  </si>
  <si>
    <t>r.k.gupta@apolloindia.com</t>
  </si>
  <si>
    <t>Byju Kottakudy</t>
  </si>
  <si>
    <t>Mrigank Nath</t>
  </si>
  <si>
    <t>Dipto Adhikary</t>
  </si>
  <si>
    <t>Growing Opportunity Finance India Private Limited</t>
  </si>
  <si>
    <t>Kolhapur Ratnagiri Highways Private Limited</t>
  </si>
  <si>
    <t>Kanak Instalments Limited</t>
  </si>
  <si>
    <t>Krishnendu Sarkar</t>
  </si>
  <si>
    <t>Gyan Singh Sengar</t>
  </si>
  <si>
    <t>Months (Last PR date)</t>
  </si>
  <si>
    <t>(Multiple Items)</t>
  </si>
  <si>
    <t>Syntex Trading &amp; Agency Private Limited</t>
  </si>
  <si>
    <t>IQF Foods Private Limited</t>
  </si>
  <si>
    <t>Nisa Industrial Services Private Limited</t>
  </si>
  <si>
    <t>Khushal Prakash Rupwate</t>
  </si>
  <si>
    <t>Tarvinder Pal Singh</t>
  </si>
  <si>
    <t>Aman Arya</t>
  </si>
  <si>
    <t>Sunstream City Private Limited</t>
  </si>
  <si>
    <t>Paransh Associates Private Limited</t>
  </si>
  <si>
    <t>deoram.deokar8867@gmail.com</t>
  </si>
  <si>
    <t>Sahakar Maharshi Shankarrao Kolhe Sahakari Sakhar Karkhana Limited</t>
  </si>
  <si>
    <t>Primacy Industries Private Limited</t>
  </si>
  <si>
    <t>Pooja Crafted Homes Private Limited</t>
  </si>
  <si>
    <t>Naresh</t>
  </si>
  <si>
    <t>B.J.Kiran Kumar Reddy</t>
  </si>
  <si>
    <t>kiran@poojacraftedhomes.in</t>
  </si>
  <si>
    <t>Surya Ferrous Alloys Private Limited</t>
  </si>
  <si>
    <t>Mr. Amit Garg</t>
  </si>
  <si>
    <t>"suryaferrous@yahoo.com" &lt;suryaferrous@yahoo.com&gt;</t>
  </si>
  <si>
    <t>Grand Canyon SEZ Private Limited</t>
  </si>
  <si>
    <t>M/S Idupulapadu Cotton Mills Private Limited</t>
  </si>
  <si>
    <t>Raghava Constructions India Private Limited</t>
  </si>
  <si>
    <t>archit@ruparel.in</t>
  </si>
  <si>
    <t>Aesthetic Stampings And Laminations Limited</t>
  </si>
  <si>
    <t>Mohit Agarwal</t>
  </si>
  <si>
    <t>70144 78714</t>
  </si>
  <si>
    <t>finance@aestheticstampings.com; mknair@aestheticstampings.com</t>
  </si>
  <si>
    <t>Priye Ranjan</t>
  </si>
  <si>
    <t>Avik Sarkar</t>
  </si>
  <si>
    <t>Harsha International</t>
  </si>
  <si>
    <t>B Maharudrappa</t>
  </si>
  <si>
    <t>harshabm2@gmail.com</t>
  </si>
  <si>
    <t>SGR (777) Foods Private Limited</t>
  </si>
  <si>
    <t>sankaranarayanan/Srikanth</t>
  </si>
  <si>
    <t>sankaranarayanan.b@sgr777foods.com</t>
  </si>
  <si>
    <t>Viswabharathi Educational Society</t>
  </si>
  <si>
    <t>DR D KANTHA REDDY</t>
  </si>
  <si>
    <t>corporatefinancevmcknl@gmail.com</t>
  </si>
  <si>
    <t xml:space="preserve"> </t>
  </si>
  <si>
    <t/>
  </si>
  <si>
    <t>Transfer</t>
  </si>
  <si>
    <t>Live</t>
  </si>
  <si>
    <t>Company name</t>
  </si>
  <si>
    <t>Dates</t>
  </si>
  <si>
    <t>September 07, 2026, September 08, 2026 and September 22, 2026</t>
  </si>
  <si>
    <t>Acute Retail Infra Private Limited</t>
  </si>
  <si>
    <t>September 07, 2026, September 08, 2026 and September 30, 2026</t>
  </si>
  <si>
    <t>September 30, 2026, October 02, 2026 and October 12, 2026</t>
  </si>
  <si>
    <t>9225628015</t>
  </si>
  <si>
    <t>IVR D</t>
  </si>
  <si>
    <t>Saisrushti Bidalur Projects Private Limited</t>
  </si>
  <si>
    <t>9663692990</t>
  </si>
  <si>
    <t>Pristine Commercials Private Limited</t>
  </si>
  <si>
    <t>CS Nadeem</t>
  </si>
  <si>
    <t>7879533688</t>
  </si>
  <si>
    <t>Sushee Hi Tech Projects Private Limited</t>
  </si>
  <si>
    <t>Tirumala Tirupati Rice Mill Private Limited</t>
  </si>
  <si>
    <t>Sun N Wind Infra Energy Private Limited</t>
  </si>
  <si>
    <t>9837899918</t>
  </si>
  <si>
    <t>sunnwindinfra@gmail.com</t>
  </si>
  <si>
    <t>Tirumala Tirupati Rice Mill Private</t>
  </si>
  <si>
    <t>9437085017</t>
  </si>
  <si>
    <t>IVR BBB</t>
  </si>
  <si>
    <t>IVR A3+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</si>
</sst>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4009]dd/mm/yyyy;@"/>
    <numFmt numFmtId="165" formatCode="dd/mmm/yyyy"/>
    <numFmt numFmtId="166" formatCode="[$-409]d\-mmm\-yy;@"/>
    <numFmt numFmtId="167" formatCode="mmmm\ dd\,\ yyyy"/>
  </numFmts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mbria"/>
      <family val="1"/>
    </font>
    <font>
      <b/>
      <sz val="11"/>
      <color rgb="FF000000"/>
      <name val="Cambria"/>
      <family val="1"/>
    </font>
    <font>
      <sz val="11"/>
      <color rgb="FF000000"/>
      <name val="Cambria"/>
      <family val="1"/>
    </font>
    <font>
      <sz val="11"/>
      <color theme="1" tint="4.9989318521683403E-2"/>
      <name val="Cambria"/>
      <family val="1"/>
    </font>
    <font>
      <b/>
      <sz val="11"/>
      <color theme="1" tint="4.9989318521683403E-2"/>
      <name val="Cambria"/>
      <family val="1"/>
    </font>
    <font>
      <u/>
      <sz val="11"/>
      <color theme="1" tint="4.9989318521683403E-2"/>
      <name val="Cambria"/>
      <family val="1"/>
    </font>
    <font>
      <sz val="11"/>
      <color rgb="FF0D0D0D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3">
    <xf numFmtId="0" fontId="0" fillId="0" borderId="0" xfId="0"/>
    <xf numFmtId="0" fontId="3" fillId="0" borderId="1" xfId="0" applyFont="1" applyBorder="1"/>
    <xf numFmtId="0" fontId="4" fillId="2" borderId="1" xfId="0" applyFont="1" applyFill="1" applyBorder="1" applyAlignment="1">
      <alignment horizontal="left" vertical="center"/>
    </xf>
    <xf numFmtId="165" fontId="4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5" fillId="0" borderId="1" xfId="0" applyFont="1" applyBorder="1" applyAlignment="1">
      <alignment vertical="center"/>
    </xf>
    <xf numFmtId="165" fontId="5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5" fontId="3" fillId="0" borderId="0" xfId="0" applyNumberFormat="1" applyFont="1"/>
    <xf numFmtId="0" fontId="3" fillId="0" borderId="0" xfId="0" applyFont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vertical="center"/>
    </xf>
    <xf numFmtId="2" fontId="0" fillId="0" borderId="0" xfId="0" applyNumberFormat="1"/>
    <xf numFmtId="0" fontId="3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/>
    <xf numFmtId="0" fontId="7" fillId="2" borderId="1" xfId="0" applyFont="1" applyFill="1" applyBorder="1" applyAlignment="1">
      <alignment horizontal="left" vertical="center"/>
    </xf>
    <xf numFmtId="165" fontId="7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65" fontId="6" fillId="0" borderId="1" xfId="0" applyNumberFormat="1" applyFont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left" vertical="center"/>
    </xf>
    <xf numFmtId="15" fontId="6" fillId="0" borderId="1" xfId="0" applyNumberFormat="1" applyFont="1" applyBorder="1"/>
    <xf numFmtId="2" fontId="6" fillId="4" borderId="1" xfId="0" applyNumberFormat="1" applyFont="1" applyFill="1" applyBorder="1"/>
    <xf numFmtId="164" fontId="6" fillId="3" borderId="1" xfId="0" applyNumberFormat="1" applyFont="1" applyFill="1" applyBorder="1" applyAlignment="1">
      <alignment horizontal="left" vertical="center"/>
    </xf>
    <xf numFmtId="0" fontId="6" fillId="4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165" fontId="6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1" applyFon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8" fillId="5" borderId="1" xfId="1" applyFont="1" applyFill="1" applyBorder="1" applyAlignment="1">
      <alignment horizontal="left" vertical="center"/>
    </xf>
    <xf numFmtId="2" fontId="6" fillId="5" borderId="1" xfId="0" applyNumberFormat="1" applyFont="1" applyFill="1" applyBorder="1" applyAlignment="1">
      <alignment horizontal="right" vertical="center" readingOrder="1"/>
    </xf>
    <xf numFmtId="15" fontId="6" fillId="5" borderId="1" xfId="0" applyNumberFormat="1" applyFont="1" applyFill="1" applyBorder="1" applyAlignment="1">
      <alignment horizontal="right" vertical="center" readingOrder="1"/>
    </xf>
    <xf numFmtId="0" fontId="6" fillId="5" borderId="1" xfId="0" applyFont="1" applyFill="1" applyBorder="1" applyAlignment="1">
      <alignment vertical="center" readingOrder="1"/>
    </xf>
    <xf numFmtId="0" fontId="6" fillId="5" borderId="1" xfId="0" applyFont="1" applyFill="1" applyBorder="1" applyAlignment="1">
      <alignment horizontal="left" vertical="center" readingOrder="1"/>
    </xf>
    <xf numFmtId="0" fontId="8" fillId="5" borderId="1" xfId="1" applyFont="1" applyFill="1" applyBorder="1" applyAlignment="1">
      <alignment horizontal="left" vertical="center" readingOrder="1"/>
    </xf>
    <xf numFmtId="2" fontId="6" fillId="0" borderId="1" xfId="0" applyNumberFormat="1" applyFont="1" applyBorder="1" applyAlignment="1">
      <alignment horizontal="right" vertical="center"/>
    </xf>
    <xf numFmtId="14" fontId="6" fillId="0" borderId="1" xfId="0" applyNumberFormat="1" applyFont="1" applyBorder="1" applyAlignment="1">
      <alignment vertical="center"/>
    </xf>
    <xf numFmtId="0" fontId="6" fillId="5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15" fontId="6" fillId="4" borderId="1" xfId="0" applyNumberFormat="1" applyFont="1" applyFill="1" applyBorder="1" applyAlignment="1">
      <alignment readingOrder="1"/>
    </xf>
    <xf numFmtId="0" fontId="6" fillId="4" borderId="1" xfId="0" applyFont="1" applyFill="1" applyBorder="1" applyAlignment="1">
      <alignment vertical="center" readingOrder="1"/>
    </xf>
    <xf numFmtId="165" fontId="6" fillId="4" borderId="1" xfId="0" applyNumberFormat="1" applyFont="1" applyFill="1" applyBorder="1" applyAlignment="1">
      <alignment horizontal="center" vertical="center" readingOrder="1"/>
    </xf>
    <xf numFmtId="2" fontId="6" fillId="5" borderId="1" xfId="0" applyNumberFormat="1" applyFont="1" applyFill="1" applyBorder="1" applyAlignment="1">
      <alignment horizontal="right" vertical="center"/>
    </xf>
    <xf numFmtId="15" fontId="6" fillId="5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vertical="center"/>
    </xf>
    <xf numFmtId="14" fontId="6" fillId="5" borderId="1" xfId="0" applyNumberFormat="1" applyFont="1" applyFill="1" applyBorder="1" applyAlignment="1">
      <alignment wrapText="1"/>
    </xf>
    <xf numFmtId="0" fontId="6" fillId="5" borderId="1" xfId="0" applyFont="1" applyFill="1" applyBorder="1" applyAlignment="1">
      <alignment vertical="center" wrapText="1"/>
    </xf>
    <xf numFmtId="0" fontId="6" fillId="4" borderId="1" xfId="0" applyFont="1" applyFill="1" applyBorder="1"/>
    <xf numFmtId="15" fontId="6" fillId="0" borderId="1" xfId="0" applyNumberFormat="1" applyFont="1" applyBorder="1" applyAlignment="1">
      <alignment horizontal="left" vertical="center"/>
    </xf>
    <xf numFmtId="14" fontId="6" fillId="5" borderId="1" xfId="0" applyNumberFormat="1" applyFont="1" applyFill="1" applyBorder="1"/>
    <xf numFmtId="0" fontId="0" fillId="0" borderId="0" xfId="0" pivotButton="1"/>
    <xf numFmtId="2" fontId="6" fillId="3" borderId="1" xfId="0" applyNumberFormat="1" applyFont="1" applyFill="1" applyBorder="1" applyAlignment="1">
      <alignment horizontal="right" vertical="center"/>
    </xf>
    <xf numFmtId="2" fontId="7" fillId="2" borderId="1" xfId="0" applyNumberFormat="1" applyFont="1" applyFill="1" applyBorder="1" applyAlignment="1">
      <alignment horizontal="right" vertical="center"/>
    </xf>
    <xf numFmtId="2" fontId="6" fillId="0" borderId="1" xfId="0" applyNumberFormat="1" applyFont="1" applyBorder="1" applyAlignment="1">
      <alignment horizontal="right"/>
    </xf>
    <xf numFmtId="2" fontId="6" fillId="4" borderId="1" xfId="0" applyNumberFormat="1" applyFont="1" applyFill="1" applyBorder="1" applyAlignment="1">
      <alignment horizontal="right"/>
    </xf>
    <xf numFmtId="2" fontId="6" fillId="4" borderId="1" xfId="0" applyNumberFormat="1" applyFont="1" applyFill="1" applyBorder="1" applyAlignment="1">
      <alignment horizontal="right" readingOrder="1"/>
    </xf>
    <xf numFmtId="2" fontId="6" fillId="5" borderId="1" xfId="0" applyNumberFormat="1" applyFont="1" applyFill="1" applyBorder="1" applyAlignment="1">
      <alignment horizontal="right"/>
    </xf>
    <xf numFmtId="2" fontId="3" fillId="0" borderId="0" xfId="0" applyNumberFormat="1" applyFont="1" applyAlignment="1">
      <alignment horizontal="right"/>
    </xf>
    <xf numFmtId="2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6" fontId="3" fillId="0" borderId="1" xfId="0" applyNumberFormat="1" applyFont="1" applyBorder="1" applyAlignment="1">
      <alignment vertical="center"/>
    </xf>
    <xf numFmtId="15" fontId="3" fillId="0" borderId="1" xfId="0" applyNumberFormat="1" applyFont="1" applyBorder="1"/>
    <xf numFmtId="0" fontId="9" fillId="7" borderId="1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165" fontId="5" fillId="3" borderId="0" xfId="0" applyNumberFormat="1" applyFont="1" applyFill="1" applyAlignment="1">
      <alignment horizontal="center" vertical="center"/>
    </xf>
    <xf numFmtId="0" fontId="6" fillId="0" borderId="1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2" fontId="6" fillId="0" borderId="1" xfId="0" applyNumberFormat="1" applyFont="1" applyBorder="1" applyAlignment="1">
      <alignment horizontal="right" vertical="center" wrapText="1"/>
    </xf>
    <xf numFmtId="0" fontId="7" fillId="2" borderId="1" xfId="0" applyFont="1" applyFill="1" applyBorder="1" applyAlignment="1">
      <alignment vertical="center"/>
    </xf>
    <xf numFmtId="166" fontId="6" fillId="3" borderId="1" xfId="0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8" fillId="0" borderId="1" xfId="1" applyFont="1" applyFill="1" applyBorder="1" applyAlignment="1">
      <alignment horizontal="left" vertical="center"/>
    </xf>
    <xf numFmtId="0" fontId="8" fillId="4" borderId="1" xfId="1" applyFont="1" applyFill="1" applyBorder="1" applyAlignment="1">
      <alignment horizontal="left" vertical="center" readingOrder="1"/>
    </xf>
    <xf numFmtId="0" fontId="7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readingOrder="1"/>
    </xf>
    <xf numFmtId="166" fontId="6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readingOrder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6" fontId="0" fillId="0" borderId="0" xfId="0" applyNumberFormat="1"/>
    <xf numFmtId="14" fontId="0" fillId="0" borderId="0" xfId="0" applyNumberFormat="1"/>
    <xf numFmtId="167" fontId="0" fillId="0" borderId="0" xfId="0" applyNumberFormat="1"/>
    <xf numFmtId="15" fontId="3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7" fillId="0" borderId="1" xfId="0" applyNumberFormat="1" applyFont="1" applyBorder="1"/>
    <xf numFmtId="0" fontId="7" fillId="0" borderId="1" xfId="0" applyFont="1" applyBorder="1"/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right" vertical="center"/>
    </xf>
    <xf numFmtId="1" fontId="3" fillId="0" borderId="0" xfId="0" applyNumberFormat="1" applyFont="1" applyAlignment="1">
      <alignment horizontal="right" vertical="center"/>
    </xf>
    <xf numFmtId="0" fontId="0" fillId="0" borderId="1" xfId="0" applyBorder="1"/>
    <xf numFmtId="2" fontId="6" fillId="0" borderId="0" xfId="0" applyNumberFormat="1" applyFont="1" applyAlignment="1">
      <alignment horizontal="right"/>
    </xf>
  </cellXfs>
  <cellStyles count="2">
    <cellStyle name="Hyperlink" xfId="1" builtinId="8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168" formatCode="[$-F800]dddd\,\ mmmm\ dd\,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42.869992939814" createdVersion="8" refreshedVersion="8" minRefreshableVersion="3" recordCount="281" xr:uid="{E553D604-8578-44D9-8EB3-2D80BCE7E1BD}">
  <cacheSource type="worksheet">
    <worksheetSource ref="A1:Q279" sheet="ALL"/>
  </cacheSource>
  <cacheFields count="20">
    <cacheField name="8/8/2026" numFmtId="0">
      <sharedItems containsSemiMixedTypes="0" containsString="0" containsNumber="1" containsInteger="1" minValue="-364" maxValue="44"/>
    </cacheField>
    <cacheField name="Done" numFmtId="0">
      <sharedItems count="2">
        <b v="0"/>
        <b v="1"/>
      </sharedItems>
    </cacheField>
    <cacheField name="Name" numFmtId="0">
      <sharedItems count="281">
        <s v="Kolhapur Ratnagiri Highways Private Limited (Fees Paid)"/>
        <s v="Agson Global Private Limited"/>
        <s v="Siva Sai Exports"/>
        <s v="Mitsumi Distribution FZCO"/>
        <s v="S M Niryat Private Limited "/>
        <s v="Nilachal Iron &amp; Power Limited"/>
        <s v="Polaris Liquor Private Limited"/>
        <s v="PCK Cotton Private Limited"/>
        <s v="Shonan Engineering Works Private Limited"/>
        <s v="M N Ramesh Engineers And Contractors"/>
        <s v="Sai Sanket Enterprises"/>
        <s v="Sai Shakti Mahila Technical and Development Services"/>
        <s v="Growing Opportunity Finance (India) Private Limited"/>
        <s v="Kanak Instalments Ltd"/>
        <s v="Prakash Gold Palace Private Limited"/>
        <s v="Jay Ambe Concrete"/>
        <s v="Manthan Buildspace LLP"/>
        <s v="Green Malabar Finance Venture Limited"/>
        <s v="ATS Housing Private Limited"/>
        <s v="Cymbio Pharma Private Limited"/>
        <s v="GREEN WORTH INFRASTRUCTURE PVT LTD"/>
        <s v="Millenium Tiles LLP"/>
        <s v="Parin Gems"/>
        <s v="SHIVALIK DISTRIBUTION PRIVATE LIMITED"/>
        <s v="Prakruti Products Private Limited"/>
        <s v="Furniture Points"/>
        <s v="Shree Ram Resins Private Limited"/>
        <s v="Shri Nagal Aluminium Company"/>
        <s v="Creaative Powertech Private Limited"/>
        <s v=" Prashanth Poultry Private Limited"/>
        <s v="Enn Enn Corp Ltd"/>
        <s v="Pushpagiri Medical Society"/>
        <s v="Scasa Nutrients Private Limited"/>
        <s v="Sheetal Cool Products Limited"/>
        <s v="Nand Infrastructure and Projects"/>
        <s v="Callac Poly Exim Private Limited"/>
        <s v="Syntex Trading and Agency Pvt Ltd"/>
        <s v="Swiss Garnier Genexiaa Sciences Private Limited"/>
        <s v="DCX Systems Ltd"/>
        <s v="Share India Securities Limited"/>
        <s v="Tristar Lifesciences Private Limited"/>
        <s v="Zandros Granitos LLP"/>
        <s v="Jagruti Sugar and Allied Industries Ltd"/>
        <s v="Uralungal Labour Contract Co-operative Society Limited"/>
        <s v="IQF Food Pvt Ltd"/>
        <s v="NISA Industrial Service Private Limited "/>
        <s v="Melt-O-Therm Furnaces Private"/>
        <s v="Sustainable Agro-Commercial Finance Limited"/>
        <s v="Om Shri Shubh Labh Agritech Private Limited"/>
        <s v="Harman Finochem Limited"/>
        <s v="Acute retail Infra Private Limited"/>
        <s v="Advanced Computers &amp; Mobiles India Private Limited"/>
        <s v="Grand Canyon SEZ Pvt Ltd"/>
        <s v="Aisshpra Life Spaces"/>
        <s v="Bhakti Extractions Private Limited"/>
        <s v="Idupulapadu Cotton Mills Private Limited"/>
        <s v="Raghava Constructions (India) Private Limited (RCIPL)"/>
        <s v="Renuka Realtors"/>
        <s v="Aventura Components Private Limited"/>
        <s v="Earth Water Limited"/>
        <s v="Shree Ram Brine Chem Private Limited"/>
        <s v="Sri Shyam Fashion India Private Limited"/>
        <s v="Chintpurni Steel Private"/>
        <s v="Narsimha Iron &amp; Steel Private Limited"/>
        <s v="PHN Technology Private Limited"/>
        <s v="Compuage Infocom Limited"/>
        <s v="Shree Biradev Finance Private Limited"/>
        <s v="Indreshwar Sugar Mills Ltd"/>
        <s v="S.V Distributors Private Limited"/>
        <s v="Silpa Projects &amp; Infrastructure (India) Private Limited"/>
        <s v="MEP Longjian CLR Private Limited"/>
        <s v="MEP Longjian Loha Waranga Road Private Limited"/>
        <s v="MEP Longjian VTR Private Limited"/>
        <s v="Aditya Auto Industries"/>
        <s v="Sivanssh Infrastructure Development Private Limited"/>
        <s v="SMBT Sevabhavi Trust"/>
        <s v="SISL Infotech"/>
        <s v="Savera Auto Comps Private Limited"/>
        <s v="KLSR Infratech Limited"/>
        <s v="MEP Longjian ACR Private Limited"/>
        <s v="Maple Logistics Pvt Ltd"/>
        <s v="Rasik Products Private Limited"/>
        <s v="Worlds Window Impex India Private Limited"/>
        <s v="Posco-Poggenamp Electrical Steel Private Limited"/>
        <s v="Global Ores &amp; Alloy Private Limited"/>
        <s v="Ramkrishna Cotspin Private Limited"/>
        <s v="Jathar Spinning Private Limited"/>
        <s v="Kamala Ginning and Oil Industries Private Limited"/>
        <s v="Bharath Hi-Tecch Builders Private Limited"/>
        <s v="Kedareshwar Khandsari Udyog Private Limited"/>
        <s v="Miracle Enterprises"/>
        <s v="Agroh Rewa Ring Road Private Limited"/>
        <s v="Chemtrade Overseas Private Limited"/>
        <s v="R E Infra Private Limited"/>
        <s v="SSNR Power Pvt. Ltd."/>
        <s v="VFS Capital Limited"/>
        <s v="DMG Polypack Private Limited"/>
        <s v="Fortune Chemicals Limited"/>
        <s v="Amar Shakti Commerce and Industries Limited"/>
        <s v="Shrushti Contech Private Limited"/>
        <s v="MMG Holdings Private Limited"/>
        <s v="Magnifico Minerals Private Limited"/>
        <s v="Sattva Engineering Construction Pvt Ltd"/>
        <s v="Ultra Cab (India) Limited"/>
        <s v="Castor Girnar Industries Private Limited"/>
        <s v="Jai Hind Sugar private Limited"/>
        <s v="Jaywant Sugars Limited"/>
        <s v="Agroh Kodinar Veraval Highways Private limited"/>
        <s v="Chrysalis Trading Private Limited"/>
        <s v="Caliber Mercantile Private Limited"/>
        <s v="Radharaman Cotspin Private Limited"/>
        <s v="IIT-ians Pace Education Private Limited"/>
        <s v="Best Blue Metals"/>
        <s v="Sun N Wind Infra Energy Pvt Ltd"/>
        <s v="Tirumala Tirupati Rice Mill Private"/>
        <s v="Jai Hind Feeds"/>
        <s v="Prince Corp Private Limited"/>
        <s v="Anoj Kumar Agarwala"/>
        <s v="Quality Exports"/>
        <s v="IRP Infra Tech Private Limited"/>
        <s v="Shriniwas Spintex Industries Pvt Ltd"/>
        <s v="Tirumalla Groundnuts Industries India Private Limited"/>
        <s v="Tirumalla Oil Refinery Private Limited"/>
        <s v="Sarna Chemicals Private Limited "/>
        <s v="Madhya Pradesh Power Generating Company Limited "/>
        <s v="Worlds Window Infra &amp; Logistics Pvt Ltd"/>
        <s v="Melzer Chemicals Private Limited"/>
        <s v="R C Apparels"/>
        <s v="Kute Sons Dairys Limited"/>
        <s v="Kute Sons Fresh Dairy Private Limited"/>
        <s v="Dhansamridhi Finance Private Limited"/>
        <s v="KHFM Hospitality and Facility Management Services Limited"/>
        <s v="India Home Loan Limited"/>
        <s v="IQRA Microfinance Federation"/>
        <s v="Swadha Finlease Private Limited"/>
        <s v="Mundhe Industries Pvt Ltd"/>
        <s v="Eagle Steels Rolling Mill"/>
        <s v="Seagull Maritime Agencies Private Limited"/>
        <s v="Viyan Tex Industries LLP"/>
        <s v="Heera Ind Trading Private Limited"/>
        <s v="Pratham Heera Sales Private Limited"/>
        <s v="Annai Resorts and Spa Private Limited"/>
        <s v="ETO Motors Private Limited"/>
        <s v="Sushee Hi-Tech Projects Pvt Ltd"/>
        <s v="Vamica Resorts Pvt Ltd"/>
        <s v="Shri Mahesh Co-operative Spinning Mills Limited"/>
        <s v="Enzotech Solutions"/>
        <s v="Radiant Industries"/>
        <s v="Shree Manglam Buildcon (I) Private Limited"/>
        <s v="Vimla Fuels &amp; Metals Limited"/>
        <s v="Dhwaja shares &amp; Securities Private Limited"/>
        <s v="Samrat Gems Impex Private Limited"/>
        <s v="ICL Fincorp Limited"/>
        <s v="P.K. Pharmatech Private Limited"/>
        <s v="Trimurthi Exports"/>
        <s v="Arthmate Financing India Private Limited"/>
        <s v="Laxmi Dia Jewels Private Limited"/>
        <s v="Svarog Global Power Private Limited"/>
        <s v="Goldrush Sales &amp; Services Limited"/>
        <s v="PressMach Infrastructure Private Limited"/>
        <s v="Ven Malar Wind Energy Private Limited"/>
        <s v="Radhakishan Infra Developers Pvt Ltd"/>
        <s v="Sharad Sahakari Sakhar Karkhana Limited"/>
        <s v="Adhikar Microfinance Private Limited"/>
        <s v="Sampark Fin Services Private Limited"/>
        <s v="Maple ODC Movers Pvt Ltd"/>
        <s v="Worlds Window Wardha Infrastructure Pvt Ltd"/>
        <s v="Paransh Associates Private Limited (NCD Case 12 month deadline)"/>
        <s v="Fagne Tarsod Corridor Private Limited"/>
        <s v="Sai Srushti Kengeri Projects Pvt Ltd"/>
        <s v="Everest Metals FZE "/>
        <s v="KMC Constructions Limited"/>
        <s v="Arrow Powertech Private Limited"/>
        <s v="Beohari Bansukli Pathways Private Limited"/>
        <s v="Mayuri Broiler Breeding Farms Private Limited"/>
        <s v="Rewa Pathways Private Limited"/>
        <s v="Sivaguru Spinning Mills Private Limited"/>
        <s v="Udit Baihar Lamta Private Limited"/>
        <s v="Udit Pathways Private Limited"/>
        <s v="Metal Care Alloys Limited"/>
        <s v="Dhosa Chandaneswar Bratyajana Samity"/>
        <s v="Glowmore Finance Private Limited"/>
        <s v="Sai Srusti Bidalur Projects Pvt ltd"/>
        <s v="PADMAVATI CHAINS and Jewels PRIVATE LIMITED"/>
        <s v="Marshal Manufacturing and Exports"/>
        <s v="Metcon India Realty and Infrastructure Private Limited"/>
        <s v="Hotel Tara Palace"/>
        <s v="JMJ Charitable Education Society"/>
        <s v="Sayyam Investments Private Limited"/>
        <s v="IDF Financial Services Private Limited"/>
        <s v="Unique UHPC Infra LLP"/>
        <s v="Moksha Thermoplastics Private Limited"/>
        <s v="Santhagarik Agro Private Limited"/>
        <s v="Anusaya Poly Products Industries"/>
        <s v="Bhatia Trading Company"/>
        <s v="Jay Formulation Limited"/>
        <s v="Alstrong Enterprises India Private Limited"/>
        <s v="Jaideepraj Infrastructure Private Limited"/>
        <s v="Ray Engineering Private Limited"/>
        <s v="Radiance Alloy and Electrical Private Limited "/>
        <s v="Suraj Informatics Private Limited "/>
        <s v="BFG International Private Limited"/>
        <s v="Kings Canyon SEZ Private Limited"/>
        <s v="Shri Ram Raja Sarkar Lok Kalyan Trust"/>
        <s v="Sun Paper Mill Limited"/>
        <s v="Aara Jungle Resortes Private Limited"/>
        <s v="Karan Kothari Business Park Private Limited "/>
        <s v="Jalna Siddhivinayak Alloys Private Limited"/>
        <s v="Tassos Construction Private Limited"/>
        <s v="Akanksha power &amp;Infra-Limited"/>
        <s v="Muktainagar Shahapur Corridor Pvt. Ltd."/>
        <s v="KK Spun India Limited"/>
        <s v="National Capsules Pvt Ltd"/>
        <s v="New Leaf Tea Plantation Private Limited"/>
        <s v="Aria Hotels and Consultancy Private Limited"/>
        <s v="4S Spintex India Pvt. Ltd."/>
        <s v="Bharat Heart &amp; Super Speciality Hospital"/>
        <s v="Draken Metals Trading Pvt Ltd"/>
        <s v="Home Zone Stainless Pvt Ltd"/>
        <s v="Maya Construction Company Pvt Ltd"/>
        <s v="Praful Enterprises Private Limited"/>
        <s v="TIMES INFRABUILD LLP"/>
        <s v="Olympus Metal Private Limited"/>
        <s v="Oyster Steel and Iron Private Limited"/>
        <s v="World Wide Metals Private Limited"/>
        <s v="MT Patil Builders &amp; Contractors Private limited"/>
        <s v="Sentini Flopipes India Private Limited"/>
        <s v="Adwalpalkar Construction and Resorts Private Limited"/>
        <s v="Dynamic Air Engineering Private Limited"/>
        <s v="Piotex Textech Private Limited "/>
        <s v="Shri Dhanalakshmi Spinntex Private Limited"/>
        <s v="Salem Erode Investments Limited"/>
        <s v="Kamco Chew Food Pvt Ltd"/>
        <s v="Raviraj Foils Limited"/>
        <s v="Quick Builders"/>
        <s v="Sagar Deposits and Advances Limited"/>
        <s v="Chetana Financial Services Private Limited"/>
        <s v="Navachetana Microfinance Services Private Limited"/>
        <s v="Radius and Deserve Land Developers Private Limited (NCD"/>
        <s v="Pristine Commercial Private Limited"/>
        <s v="APRN Enterprises Private Limited"/>
        <s v="Avtar Installments Private Limited"/>
        <s v="Primacy Industries Private Limited (OCD Case 12 month deadline)"/>
        <s v="Murugavilas Textile"/>
        <s v="Musaddilal Jewellers Private Limited"/>
        <s v="Spinora Tiles Private Limited"/>
        <s v="Valentis Cancer Care Hospital Private Limited"/>
        <s v="Shree Vagheshwari Roadways"/>
        <s v="Shalimar Corp Limited"/>
        <s v="Sian Infra and Realcon LLP"/>
        <s v="Ujjain Jaora Tollways Private Limited (UJTPL)"/>
        <s v="Shalimar Malls Private Limited"/>
        <s v="Prestige Properties"/>
        <s v="Indo Global Soft Solutions and Technologies Private Limited"/>
        <s v="G Shankar"/>
        <s v="Finolite Ceramics"/>
        <s v="Seacoast Shipping Services Limited "/>
        <s v="Bharti Foods"/>
        <s v="Bharti Industries"/>
        <s v="Prateek Apparels Private Limited"/>
        <s v="Sree Rengaraj Ispat Industries Private Limited"/>
        <s v="Paawan Energy India Private Limited"/>
        <s v="Jayanti Super Construction Private Limited"/>
        <s v="Nikhil Adhesives Limited"/>
        <s v="Amulya Sea Foods"/>
        <s v="Sankar sai consumer products"/>
        <s v="Everrenew Energy Private Limited"/>
        <s v="Bogmallo Enterprises Private Limited"/>
        <s v="Stree Nidhi Credit Co-operative Federation Limited (Telangana)"/>
        <s v="PVR Spinning and Weaving Limited"/>
        <s v="Vishnu Enterprises "/>
        <s v="Bright Packaging Private Limited"/>
        <s v="Fusion Industries Limited"/>
        <s v="Ayyappa Cotton Mills Private Limited"/>
        <s v="DDN SFA Limited"/>
        <s v="GOC Petrochemicals Private Limited"/>
        <s v="Shree Ram Proteins Limited"/>
        <s v="Suriya Spinning Mills"/>
        <s v="Inditrade Microfinance Limited"/>
        <s v="Aristo Securities Private Limited"/>
        <s v="Valencia and Mishal Ventures Private Limited"/>
      </sharedItems>
    </cacheField>
    <cacheField name="Amount " numFmtId="0">
      <sharedItems containsBlank="1" containsMixedTypes="1" containsNumber="1" minValue="2" maxValue="4500" count="156">
        <n v="440"/>
        <n v="1694"/>
        <n v="190"/>
        <s v="Issuer Rating"/>
        <n v="225"/>
        <n v="219.38"/>
        <n v="61"/>
        <n v="40"/>
        <n v="25.83"/>
        <n v="95"/>
        <n v="25"/>
        <n v="60.14"/>
        <m/>
        <n v="200"/>
        <n v="4.97"/>
        <n v="52.87"/>
        <n v="75"/>
        <n v="100"/>
        <n v="5"/>
        <n v="77"/>
        <n v="40.729999999999997"/>
        <n v="18.170000000000002"/>
        <n v="72"/>
        <n v="23.08"/>
        <n v="10"/>
        <n v="14"/>
        <n v="6.5"/>
        <n v="43"/>
        <n v="150"/>
        <n v="24.37"/>
        <n v="50"/>
        <n v="80"/>
        <n v="34.9"/>
        <n v="374.2"/>
        <n v="1010"/>
        <n v="1800"/>
        <n v="697.23"/>
        <n v="136.15"/>
        <n v="86"/>
        <n v="59.85"/>
        <n v="275"/>
        <n v="750"/>
        <n v="250"/>
        <n v="166"/>
        <n v="6"/>
        <n v="64.7"/>
        <n v="14.91"/>
        <n v="99.78"/>
        <n v="960"/>
        <n v="37"/>
        <n v="111"/>
        <n v="550.04999999999995"/>
        <n v="588.75"/>
        <n v="646.92999999999995"/>
        <n v="19.89"/>
        <n v="120"/>
        <n v="229.65"/>
        <n v="130"/>
        <n v="400"/>
        <n v="469.77"/>
        <n v="41.47"/>
        <n v="1000"/>
        <n v="20"/>
        <n v="61.23"/>
        <n v="57.76"/>
        <n v="42"/>
        <n v="91.35"/>
        <n v="1100"/>
        <n v="155"/>
        <n v="69.12"/>
        <n v="44.29"/>
        <n v="64"/>
        <n v="348.41"/>
        <n v="68.75"/>
        <n v="33.94"/>
        <n v="25.3"/>
        <n v="57.04"/>
        <n v="269.17"/>
        <n v="44.9"/>
        <n v="64.23"/>
        <n v="54.22"/>
        <n v="3"/>
        <n v="84.91"/>
        <n v="45"/>
        <n v="8.73"/>
        <n v="121"/>
        <n v="185"/>
        <n v="276.77"/>
        <n v="32.35"/>
        <n v="42.95"/>
        <n v="18.41"/>
        <n v="140"/>
        <n v="30"/>
        <n v="38.36"/>
        <n v="60"/>
        <n v="6.33"/>
        <n v="31"/>
        <n v="15.54"/>
        <n v="10.07"/>
        <n v="68"/>
        <n v="13.15"/>
        <n v="55.26"/>
        <n v="12.24"/>
        <n v="50.05"/>
        <n v="143"/>
        <n v="19.34"/>
        <n v="690"/>
        <n v="2"/>
        <n v="235"/>
        <n v="112.84"/>
        <n v="55"/>
        <n v="24.5"/>
        <n v="572.36"/>
        <n v="9"/>
        <n v="25.2"/>
        <n v="179.6"/>
        <n v="58"/>
        <n v="19.82"/>
        <n v="60.18"/>
        <n v="117.61"/>
        <n v="27"/>
        <n v="70.3"/>
        <n v="606.09"/>
        <n v="302"/>
        <n v="43.92"/>
        <n v="82.38"/>
        <n v="11.29"/>
        <n v="65"/>
        <n v="15.29"/>
        <n v="26.44"/>
        <n v="268.87"/>
        <n v="35"/>
        <n v="141.68"/>
        <n v="160.04"/>
        <n v="163"/>
        <n v="390"/>
        <n v="17.59"/>
        <n v="14.5"/>
        <n v="55.95"/>
        <n v="45.25"/>
        <n v="91.43"/>
        <n v="142.62"/>
        <n v="147"/>
        <n v="96.92"/>
        <n v="26"/>
        <n v="63"/>
        <n v="138.30000000000001"/>
        <n v="4500"/>
        <n v="36"/>
        <n v="55.68"/>
        <n v="28.2"/>
        <n v="63.17"/>
        <n v="49.45"/>
        <n v="37.25"/>
        <n v="44.62"/>
        <n v="547.47"/>
      </sharedItems>
    </cacheField>
    <cacheField name="Date of becoming INC" numFmtId="0">
      <sharedItems containsDate="1" containsBlank="1" containsMixedTypes="1" minDate="2019-03-28T00:00:00" maxDate="2024-10-18T00:00:00"/>
    </cacheField>
    <cacheField name="Previous Analyst" numFmtId="0">
      <sharedItems count="34">
        <s v="Manas"/>
        <s v="Rajsee Warang"/>
        <s v="Palak Dand "/>
        <s v="Pratik"/>
        <s v="Pratik Prajapati"/>
        <s v="Sruthi"/>
        <s v="Milan Purohit"/>
        <s v="Priya Garg"/>
        <s v="Rahul Kadwe"/>
        <s v="Sonal Ghanchi"/>
        <s v="Nidhi Kajagar"/>
        <s v="Shubham Hande"/>
        <s v="Prathamesh Mirashi"/>
        <s v="Ruchika Gada"/>
        <s v="Nikita"/>
        <s v="Onish"/>
        <s v="Rahul Jadhav"/>
        <s v="Omkar"/>
        <s v="Rahul Saini"/>
        <s v="Suresh Mandan"/>
        <s v="Srushti Patil"/>
        <s v="Dharna Bhadani"/>
        <s v="Nilesh Gupta"/>
        <s v="Shruti P. Sagothia"/>
        <s v="Kajal Chhetija"/>
        <s v="Abhishek Nangia"/>
        <s v="Jithin"/>
        <s v="Riya"/>
        <s v="Pratik Prabhu"/>
        <s v="Aniket"/>
        <s v="Anupriya"/>
        <s v="Manan "/>
        <s v="Pratham Daya"/>
        <s v="Priyansh"/>
      </sharedItems>
    </cacheField>
    <cacheField name="Group Head" numFmtId="0">
      <sharedItems/>
    </cacheField>
    <cacheField name="Last PR date" numFmtId="165">
      <sharedItems containsSemiMixedTypes="0" containsNonDate="0" containsDate="1" containsString="0" minDate="2025-06-25T00:00:00" maxDate="2026-08-08T00:00:00" count="129">
        <d v="2025-06-25T00:00:00"/>
        <d v="2025-07-08T00:00:00"/>
        <d v="2025-07-09T00:00:00"/>
        <d v="2025-07-29T00:00:00"/>
        <d v="2025-07-30T00:00:00"/>
        <d v="2025-08-01T00:00:00"/>
        <d v="2025-08-04T00:00:00"/>
        <d v="2025-08-07T00:00:00"/>
        <d v="2025-08-08T00:00:00"/>
        <d v="2025-08-12T00:00:00"/>
        <d v="2025-08-13T00:00:00"/>
        <d v="2025-08-14T00:00:00"/>
        <d v="2025-08-19T00:00:00"/>
        <d v="2025-08-26T00:00:00"/>
        <d v="2025-08-29T00:00:00"/>
        <d v="2025-09-01T00:00:00"/>
        <d v="2025-09-11T00:00:00"/>
        <d v="2025-09-16T00:00:00"/>
        <d v="2025-09-17T00:00:00"/>
        <d v="2025-09-19T00:00:00"/>
        <d v="2025-09-22T00:00:00"/>
        <d v="2025-09-26T00:00:00"/>
        <d v="2025-09-30T00:00:00"/>
        <d v="2025-10-03T00:00:00"/>
        <d v="2025-10-06T00:00:00"/>
        <d v="2025-10-09T00:00:00"/>
        <d v="2025-10-10T00:00:00"/>
        <d v="2025-10-14T00:00:00"/>
        <d v="2025-10-15T00:00:00"/>
        <d v="2025-10-16T00:00:00"/>
        <d v="2025-10-17T00:00:00"/>
        <d v="2025-10-23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7T00:00:00"/>
        <d v="2025-11-10T00:00:00"/>
        <d v="2025-11-14T00:00:00"/>
        <d v="2025-11-17T00:00:00"/>
        <d v="2025-11-18T00:00:00"/>
        <d v="2025-11-20T00:00:00"/>
        <d v="2025-11-21T00:00:00"/>
        <d v="2025-11-24T00:00:00"/>
        <d v="2025-11-25T00:00:00"/>
        <d v="2025-11-26T00:00:00"/>
        <d v="2025-12-03T00:00:00"/>
        <d v="2025-12-04T00:00:00"/>
        <d v="2025-12-08T00:00:00"/>
        <d v="2025-12-10T00:00:00"/>
        <d v="2025-12-11T00:00:00"/>
        <d v="2025-12-12T00:00:00"/>
        <d v="2025-12-16T00:00:00"/>
        <d v="2025-12-18T00:00:00"/>
        <d v="2025-12-19T00:00:00"/>
        <d v="2025-12-22T00:00:00"/>
        <d v="2025-12-23T00:00:00"/>
        <d v="2025-12-24T00:00:00"/>
        <d v="2025-12-29T00:00:00"/>
        <d v="2025-12-31T00:00:00"/>
        <d v="2026-01-01T00:00:00"/>
        <d v="2026-01-02T00:00:00"/>
        <d v="2026-01-08T00:00:00"/>
        <d v="2026-01-12T00:00:00"/>
        <d v="2026-01-13T00:00:00"/>
        <d v="2026-01-23T00:00:00"/>
        <d v="2026-01-28T00:00:00"/>
        <d v="2026-01-29T00:00:00"/>
        <d v="2026-02-04T00:00:00"/>
        <d v="2026-02-05T00:00:00"/>
        <d v="2026-02-06T00:00:00"/>
        <d v="2026-02-09T00:00:00"/>
        <d v="2026-02-10T00:00:00"/>
        <d v="2026-02-20T00:00:00"/>
        <d v="2026-02-25T00:00:00"/>
        <d v="2026-02-26T00:00:00"/>
        <d v="2026-02-27T00:00:00"/>
        <d v="2026-03-02T00:00:00"/>
        <d v="2026-03-04T00:00:00"/>
        <d v="2026-03-05T00:00:00"/>
        <d v="2026-03-06T00:00:00"/>
        <d v="2026-03-09T00:00:00"/>
        <d v="2026-03-10T00:00:00"/>
        <d v="2026-03-16T00:00:00"/>
        <d v="2026-03-25T00:00:00"/>
        <d v="2026-03-26T00:00:00"/>
        <d v="2026-03-30T00:00:00"/>
        <d v="2026-04-03T00:00:00"/>
        <d v="2026-04-08T00:00:00"/>
        <d v="2026-04-10T00:00:00"/>
        <d v="2026-04-14T00:00:00"/>
        <d v="2026-04-16T00:00:00"/>
        <d v="2026-04-17T00:00:00"/>
        <d v="2026-04-21T00:00:00"/>
        <d v="2026-04-23T00:00:00"/>
        <d v="2026-04-24T00:00:00"/>
        <d v="2026-05-04T00:00:00"/>
        <d v="2026-05-06T00:00:00"/>
        <d v="2026-05-07T00:00:00"/>
        <d v="2026-05-11T00:00:00"/>
        <d v="2026-05-14T00:00:00"/>
        <d v="2026-05-18T00:00:00"/>
        <d v="2026-05-22T00:00:00"/>
        <d v="2026-05-26T00:00:00"/>
        <d v="2026-05-27T00:00:00"/>
        <d v="2026-05-28T00:00:00"/>
        <d v="2026-05-29T00:00:00"/>
        <d v="2026-06-02T00:00:00"/>
        <d v="2026-06-03T00:00:00"/>
        <d v="2026-06-04T00:00:00"/>
        <d v="2026-06-09T00:00:00"/>
        <d v="2026-06-11T00:00:00"/>
        <d v="2026-06-12T00:00:00"/>
        <d v="2026-06-16T00:00:00"/>
        <d v="2026-06-23T00:00:00"/>
        <d v="2026-07-03T00:00:00"/>
        <d v="2026-07-06T00:00:00"/>
        <d v="2026-07-14T00:00:00"/>
        <d v="2026-07-15T00:00:00"/>
        <d v="2026-07-16T00:00:00"/>
        <d v="2026-07-20T00:00:00"/>
        <d v="2026-07-29T00:00:00"/>
        <d v="2026-08-03T00:00:00"/>
        <d v="2026-08-05T00:00:00"/>
        <d v="2026-08-06T00:00:00"/>
        <d v="2026-08-07T00:00:00"/>
      </sharedItems>
      <fieldGroup par="19"/>
    </cacheField>
    <cacheField name="LT Rating" numFmtId="0">
      <sharedItems containsBlank="1"/>
    </cacheField>
    <cacheField name="ST Rating " numFmtId="0">
      <sharedItems containsBlank="1"/>
    </cacheField>
    <cacheField name="Last Date" numFmtId="166">
      <sharedItems containsSemiMixedTypes="0" containsNonDate="0" containsDate="1" containsString="0" minDate="2026-06-25T00:00:00" maxDate="2027-08-08T00:00:00"/>
    </cacheField>
    <cacheField name="Contact Person" numFmtId="0">
      <sharedItems containsBlank="1"/>
    </cacheField>
    <cacheField name="Number" numFmtId="0">
      <sharedItems containsBlank="1" containsMixedTypes="1" containsNumber="1" containsInteger="1" minValue="1142524445" maxValue="9990359554"/>
    </cacheField>
    <cacheField name="Email" numFmtId="0">
      <sharedItems count="253">
        <s v="siddhant.khatri@jmminfra.com ; cadeepika.chamola@jmminfra.com"/>
        <s v="agson@agsonglobal.com; finance@agsonglobal.com"/>
        <s v="sivasaiexports@yahoo.com"/>
        <s v="rajesh@mitsumidistribution.com'"/>
        <s v="rajg@smgroup.co.in'; 'smniryat@smgroup.co.in'"/>
        <s v="rajg@smgroup.co.in'"/>
        <s v="accounts@polarisliquor.com, santoshwagleicedd@gmail.com"/>
        <s v="accounts@pckcotton.com, parascm@pckcotton.com"/>
        <s v="pvandana@shonan.co.in"/>
        <s v="rameshmn10@rediffmail.com"/>
        <s v="milindm2@saisanket.com_x000a_vinayak@saisanket.com_x000a_account@saisanket.com"/>
        <s v="priyankascpl19@gmail.com"/>
        <s v="sparthasarathy@gopportunity.net"/>
        <s v="dk.jindal24@ymail.com"/>
        <s v="punitha@pgpgroups.com / pgpfinance@pgpgroups.com"/>
        <s v="jayambermc662018@gmail.com"/>
        <s v="account@shilp.co.in"/>
        <s v="Ramchandran Chellam &lt;ramchellam@Petromoney.co.in&gt;"/>
        <s v="neha.kamra@atsgreens.com, lovely.pathak@atsgreens.com"/>
        <s v="subbaramk@karlegroup.com"/>
        <s v="gkk1959@gmail.com"/>
        <s v="info@millenniumtilesllp.com"/>
        <s v="JIGNESH.ITALIYA@PARINGEMS.IN"/>
        <s v="shobhit.shivalik@gmail.com, bsthapa60@gmail.com, pradeep.shivalik@gmail.com"/>
        <s v="accounts@prakruti.com"/>
        <s v="singhpappu41@gmail.com"/>
        <s v="shreeramresins@gmail.com"/>
        <s v="shrinagalalu@gmail.com"/>
        <s v="sales@creaativepowertech.com"/>
        <s v="prashanthpoultry@gmail.com"/>
        <s v="vdalal@ennenngroup.com"/>
        <s v="financedirector@pushpagiri.in"/>
        <s v="arjun@scasaindustries.com"/>
        <s v="info@sheetalicecream.com"/>
        <s v="Mrs. Geetaben Narendrasinh Gohil &lt;cnplbvn@yahoo.in&gt;"/>
        <s v="ravindracallacpoly@gmail.com"/>
        <s v="parmeshwarbihani3@gmail.com"/>
        <s v="finance@swissgarnier.com"/>
        <s v="sk@dcxindia.com"/>
        <s v="ganapathy@shareindia.com"/>
        <s v="drarunmehra@hotmail.com"/>
        <s v="zandrosgranito@gmail.com"/>
        <s v="jagrutisugar@gmail.com"/>
        <s v="Mr.Praveen Kumar &lt;finance@ulccsltd.com&gt;"/>
        <s v="accounts@sridevarajaagro.com"/>
        <s v="Charmey.shah@nisaeye.com "/>
        <s v="mtfextrusions@gmail.com"/>
        <s v="amit.bohra@safl.in"/>
        <s v="akhileshgupta@smartwife.in"/>
        <s v="rupesh@harmanfinochem.com"/>
        <s v="alok.tiwary@futuregroup.in"/>
        <s v="tushar.jagtap@advancedmobile.in "/>
        <s v="archit.bartaria@asfinfrastructure.com, dinesh.jain@asfinfrastructure.com, prannoy.kumar@asfinfrastructure.com"/>
        <s v="grvmht10@gmail.com, ayush@ayushandassociates.com"/>
        <s v="Mr. Atul Mantri  &lt;bhaktisoya@gmail.com&gt;"/>
        <s v="M SITARAMAIAH &lt;info@icmtex.com&gt;"/>
        <s v="raghava.constructions@gmail.com"/>
        <s v="archit@ruparel.in'"/>
        <s v="sghosh@ewgroup.in"/>
        <s v="pf@pkmg.co.in"/>
        <s v="finance@shyamfashion.com,saurav@shyamfashion.com"/>
        <s v="cspl2005@yahoo.com"/>
        <s v="narsimhairon@gmail.com"/>
        <s v="karn.gaikwad@phntechnology.com_x000a_kiran.ghanate@phntechnology.com"/>
        <s v="Ms. Anmol jolly &lt;anmol.jolly@compuageindia.com&gt;"/>
        <s v="Ms. Nandini Raghoji &lt;nandiniraghoji.2192@gmail.com&gt;; Ramachandra Raghoji &lt;birdevfinance.fin@gmail.com"/>
        <s v="shinde.sachin9@gmail.com, isml.sugar@gmail.com"/>
        <s v="santoshwagleicedd@gmail.com"/>
        <s v="accts@silpa.in"/>
        <s v="fin@mepinfra.com_x000a_sakadam@mepinfra.com"/>
        <s v="bdm@apipl.co.in"/>
        <s v="fintax@smbt.edu.in"/>
        <s v="akash_nangia@sislinfotech.com, rohit_garg@sislinfotech.com, ranjeet_yadav@sislinfotech.com, hemant_chansoriya@sislinfotech.com&gt;"/>
        <s v="account@saveraengineering.com"/>
        <s v="gsr@klsrinfratech.com"/>
        <s v="anil@worldswindow.cc"/>
        <s v="rasikproducts@gmail.com"/>
        <s v="juneja@poggenamp.com"/>
        <s v="chairman@thebharathgroup.com"/>
        <s v="account@rkcotspin.com"/>
        <s v="jathargroup@rediffmail.com"/>
        <s v="kgoibhainsa@gmail.com"/>
        <s v="skkunimbhora@rediffmail.com"/>
        <s v="miracleenterprise07@gmail.com"/>
        <s v="aidplindore@gmail.com"/>
        <s v="Tax Chemtrade &lt;tax@chemtrade.in&gt;; Jatin Shah &lt;jatin@chemtrade.in&gt;"/>
        <s v="acc.reinfra@gmail.com "/>
        <s v="samanthapudi_9000@yahoo.co.in "/>
        <s v="simita@vfscapital.in"/>
        <s v="Neha Kothari &lt;accounts@dmgpolypack.com&gt;"/>
        <s v="accounts@fortunechem.in; Mr. Navneet &lt;gm@fortunechem.in&gt;"/>
        <s v="oleebnc89@gmail.com"/>
        <s v="manikanta.ch@shrushtigroup.com_x000a_ raja@shrushtigroup.com_x000a_madhu@shrushtigroup.com_x000a_rajini.p@shrushtigroup.com_x000a_maruthi.m@shrushtigroup.com"/>
        <s v="guptaelr@gmail.com"/>
        <s v="ashish.aggarwal@worldswindow.com"/>
        <s v="sujatha@sattvaengg.in"/>
        <s v="INTERNAL AUDITOR &lt;cfo@ultracab.in&gt;; pankaj.shingala@ultracab.in"/>
        <s v="jaihindsugar@gmail.com "/>
        <s v="account@jaywantsugars.com, cfojaywantsugars@gmail.com"/>
        <s v="financechrysalis5@gmail.com"/>
        <s v="sachin.t@cmll.in"/>
        <s v="jatinpatel434@gmail.com"/>
        <s v="accounts@iitanspace.com"/>
        <s v="bestbluemetals@gmail.com"/>
        <s v="sunnwindinfra@gmail.com "/>
        <s v="tirumalatirupatiricemill.ada@gmail.com"/>
        <s v="jaihindfeeds@gmail.com "/>
        <s v="raakesh@princeware.net, jagdishnathani@princeware.net"/>
        <s v="anojagarwala@rediffmail.com"/>
        <s v="qualityexportsgoa@gmail.com"/>
        <s v="irpinfratech@yahoo.in"/>
        <s v="shriniwasspintex@gmail.com"/>
        <s v="headoffice@thekutegroup.com"/>
        <s v="ac1@sarnachemicals.com"/>
        <s v="cashmppgcl@gmail.com "/>
        <s v="accounts@melzerspeciality.com"/>
        <s v="abhishekjain@rcapparels.com"/>
        <s v="headoffice@thekutegroup.com_x000a_sachin.patni@tirumallaoil.com_x000a_ashishptdkr@gmail.com"/>
        <s v="goelnakul@gmail.com, accounts@dhansamridhi.com"/>
        <s v="cs@khfm.in"/>
        <s v="nikita@indiahomeloan.co.in, maulesh.p@indiahomeloan.in"/>
        <s v="iqramicrofinancefederation@gmail.com "/>
        <s v="swadhafinlease@gmail.com"/>
        <s v="mundhesuyesh955@gmail.com"/>
        <s v="eagleamritlal@yahoo.in,info@eaglesteels.com"/>
        <s v="pawan@seagull-global.com"/>
        <s v="ravi@heerabgroup.com"/>
        <s v="annairesorts@gmail.com"/>
        <s v="satyam@etomotors.com"/>
        <s v="susheeprojects@yahoo.in"/>
        <s v="jatin@vamicaresorts.com;vamicaresort003@gmail.com"/>
        <s v="shreemahesh.spin@yahoo.in"/>
        <s v="finance@enzotech.co.in"/>
        <s v="arun@radiantindia.net"/>
        <s v="mangesha@womindia.com"/>
        <s v="accvfmpl@gmail.com "/>
        <s v="sunil.anandpara@dhwaja.com"/>
        <s v="admin@samratex.com, finance@samratex.com, dinesh.accounts@samratex.com, raj@samratex.com"/>
        <s v="accmgr2@iclfincorp.com"/>
        <s v="neeta@pkpharma.com"/>
        <s v="tmeonline@gmail.com"/>
        <s v="sonal.bajaj@arthmate.com"/>
        <s v="gaurav.vora@laxmidiajewel.com"/>
        <s v="aparna@premierenergies.com"/>
        <s v="director@thegoldrushgroup.com, &quot;Siddharth&quot; &lt;gmadmin_fin@thegoldrushgroup.com&gt;, accounts_ho@thegoldrushgroup.com, &quot;utaneja1&quot; &lt;utaneja1@gmail.com&gt;"/>
        <s v="ranjeetha@pressmach.com, compliance@pressmach.com, sunilkumar@pressmach.com"/>
        <s v="venmalarwindenergy@gmail.com"/>
        <s v="advocate991@gmail.com "/>
        <s v="sharad_sakhar@rediffmail.com"/>
        <s v="umesh@adhikarindia.org"/>
        <s v="jugal@samparkfin.in"/>
        <s v="ashish.aggarwal@worldswindow.com "/>
        <s v="devrishi.v@unitern.com, ritesh@unitern.com, agarwalla.mayank@gmail.com, profwallet@gmail.com"/>
        <s v="compliance@ssdpl.in;nagamuni.reddy@ssdpl.in"/>
        <s v="hemasundar.t@kmcgroup.co.in / ramarao.boddapati@kmcgroup.com"/>
        <s v="kajol@armee.in"/>
        <s v="cs.uditinfraworld@gmail.com"/>
        <s v="_x000a_srikanth.retoju@gmail.com"/>
        <s v="gsk.sivaguruspgm@gmail.com"/>
        <s v="admin@metalcare.co.in"/>
        <s v="animeshnaiya@dcbs.in"/>
        <s v="admin@glowmore.finance, md@glowmore.finance"/>
        <s v="padmavatichainspl@gmail.com,finance@pcandj.com,padmavatichainspl@gmail.com"/>
        <s v="amol.prabhu@mmepl.in"/>
        <s v="dinesh.metcon@gmail.com "/>
        <s v="kgpjewellers1@gmail.com"/>
        <s v="accounts@theaims.ac.in"/>
        <s v="abhijit.jadhav@uniqueuhpcinfra.com;accounts@lssplindia.com"/>
        <s v="snehal@mokshabobbins.com"/>
        <s v="santhagarik@gmail.com"/>
        <s v="anusayapolyproducts@gmail.com'"/>
        <s v="bhatiatrading@gmail.com'_x000a_'bhatiatrading10@gmail.com'"/>
        <s v="Mr. Bharat J. Tiwari' &lt;jay.formulations@yahoo.co.in&gt;"/>
        <s v="cs@worldswindow.cc"/>
        <s v="info@jaideepraj.com_x000a_finance@jaideepraj.com"/>
        <s v="raju.vaidyan@gmail.com"/>
        <s v="radiancealloys18@gmail.com"/>
        <s v="accounts@surajinformatics.com"/>
        <s v="Mahesh.petluru@bfgindia.com"/>
        <s v="archit.bartaria@asfinfrastructure.com"/>
        <s v="acsridatia@gmail.com"/>
        <s v="gkumarbmw@gmail.com"/>
        <s v="_x000a_md@srjungleresort.com"/>
        <s v="accounts@kkbp.in"/>
        <s v="Dinesh Agrawal' &lt;jalna.siddhivinayak@gmail.com&gt;"/>
        <s v="Mr.Namankumar Kanubhai Trapsia &lt;tassoscons@gmail.com&gt;"/>
        <s v="skb@kksil.com"/>
        <s v="jainsanjay.jain8@gmail.com"/>
        <s v="newleaftea@gmail.com"/>
        <s v="finance@ariahotels.in,nupur.garg@ariahotels.in,arun.shukla@ariahotels.in"/>
        <s v="4sspintexipl@gmail.com "/>
        <s v="accounts@velmedhospitals.com "/>
        <s v="drakenmetals@gmail.com"/>
        <s v="accounts.sharma@hzspl.in "/>
        <s v="mayaconst@gmail.com "/>
        <s v="rajg@smgroup.co.in"/>
        <s v="timesinfrabuild@gmail.com"/>
        <s v="olympusmetal@hotmail.com"/>
        <s v="worldwidemetals2015@gmail.com"/>
        <s v="msmtpatil@gmail.com"/>
        <s v="gmf@sentiniflopipes.com"/>
        <s v="adwalpalkar.finance@gmail.com"/>
        <s v="dynamicairindia@gmail.com"/>
        <s v="abhay@piotex.in "/>
        <s v="dhanalakshmispintex@gmail.com"/>
        <s v="ca.kcfpl@gmail.com"/>
        <s v="hirenshah@ravirajfoils.com, tjain@ravirajfoils.com"/>
        <s v="quick_dks@yahoo.co.in"/>
        <s v="Ashish Sharma &lt;ashishsharma@sdal.in&gt;"/>
        <s v="finance@chetanafinancial.in &lt;finance@chetanafinancial.in&gt;"/>
        <s v="ullas.kooli@navachetanagroup.com"/>
        <s v="yogeshwarn@radiusdevelopers.com"/>
        <s v="accounts@pristinecommercials.com"/>
        <s v="nirmalsharma@ansapack.com"/>
        <s v="compilance@avtarone.com, avtarinstalmentspvtltd@gmail.com"/>
        <s v="sowmya.nayak@manipalgroup.info, renjith.rs@manipalgroup.info, kiran.shetty@primacyind.com, kamath@primacyind.com"/>
        <s v="kavin@murugavilas.com"/>
        <s v="accounts.ho@mjpl.biz"/>
        <s v="spinoratiles.acc@gmail.com"/>
        <s v="skkumarco@gmail.com"/>
        <s v="rbgagal@gmail.com"/>
        <s v="finance@shalimar.org, deepak.gaur@shalimar.org"/>
        <s v="vinay@sianinfra.com"/>
        <s v="sneeraj07@hotmail.com"/>
        <s v="accounting@thesilvergroup.co.in,forum@thesilvergroup.co.in"/>
        <s v="ronitp@radiusdevelopers.com', 'mehulk@radiusdevelopers.com'"/>
        <s v="gundmishanker@gmail.com"/>
        <s v="finoliteceramic@gmail.com"/>
        <s v="manish@seacoastsms.com,finance@seacoastsms.com"/>
        <s v="bhartifood2016@gmail.com,        sachani.peeyush@gmail.com"/>
        <s v="bhartifood2016@gmail.com        sachani.peeyush@gmail.com"/>
        <s v="cs@prateekapparels.com"/>
        <s v="chandru18@sriipl.com"/>
        <s v="info@paawanenergy.com"/>
        <s v="super_co1234@yahoo.in"/>
        <s v="pooja@nikhiladhesives.com; chandrahas.salian@nikhiladhesives.com, raju.sanghavi@nikhiladhesives.com"/>
        <s v="nilabank@nilaseafoods.com"/>
        <s v="neelameena@rediffmail.com"/>
        <s v="ranganathan.r@ntcgroup.in"/>
        <s v="abhijit.vaze1979@gmail.com"/>
        <s v="dgmfm@streenidhi.in , cm1.funds@streenidhi.in "/>
        <s v="dsrikanth@pvrgroup.com"/>
        <s v="info@vishnujewellery.com"/>
        <s v="sudha@brightpackaging.in"/>
        <s v="Mr. Aditya Gupta  &lt;gmfinance@fusionpipes.com&gt;"/>
        <s v="mramakrishna79@gmail.com"/>
        <s v="ea@padmagroup.org"/>
        <s v="vinod@goldoilcorporation.com"/>
        <s v="shree_ramcotton@yahoo.com'"/>
        <s v="suriya2003@gmail.com"/>
        <s v="accounts.iml@inditrade.com"/>
        <s v="angela.sarna@revfin.in"/>
        <s v="ankit.shah@shethcreators.com"/>
      </sharedItems>
    </cacheField>
    <cacheField name="8/8/20262" numFmtId="0">
      <sharedItems containsNonDate="0" containsString="0" containsBlank="1"/>
    </cacheField>
    <cacheField name="BD" numFmtId="0">
      <sharedItems containsBlank="1"/>
    </cacheField>
    <cacheField name="Committee Date" numFmtId="15">
      <sharedItems containsNonDate="0" containsDate="1" containsString="0" containsBlank="1" minDate="2026-07-10T00:00:00" maxDate="2026-08-06T00:00:00"/>
    </cacheField>
    <cacheField name="Months (Last PR date)" numFmtId="0" databaseField="0">
      <fieldGroup base="7">
        <rangePr groupBy="months" startDate="2025-06-25T00:00:00" endDate="2026-08-08T00:00:00"/>
        <groupItems count="14">
          <s v="&lt;25-06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8-08-2026"/>
        </groupItems>
      </fieldGroup>
    </cacheField>
    <cacheField name="Quarters (Last PR date)" numFmtId="0" databaseField="0">
      <fieldGroup base="7">
        <rangePr groupBy="quarters" startDate="2025-06-25T00:00:00" endDate="2026-08-08T00:00:00"/>
        <groupItems count="6">
          <s v="&lt;25-06-2025"/>
          <s v="Qtr1"/>
          <s v="Qtr2"/>
          <s v="Qtr3"/>
          <s v="Qtr4"/>
          <s v="&gt;08-08-2026"/>
        </groupItems>
      </fieldGroup>
    </cacheField>
    <cacheField name="Years (Last PR date)" numFmtId="0" databaseField="0">
      <fieldGroup base="7">
        <rangePr groupBy="years" startDate="2025-06-25T00:00:00" endDate="2026-08-08T00:00:00"/>
        <groupItems count="4">
          <s v="&lt;25-06-2025"/>
          <s v="2025"/>
          <s v="2026"/>
          <s v="&gt;08-08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1">
  <r>
    <n v="44"/>
    <x v="0"/>
    <x v="0"/>
    <x v="0"/>
    <m/>
    <x v="0"/>
    <s v="Jyotsna"/>
    <x v="0"/>
    <s v="IVR BB+/Negative; INC"/>
    <m/>
    <d v="2026-06-25T00:00:00"/>
    <s v="siddhant Khatri"/>
    <n v="9167655456"/>
    <x v="0"/>
    <m/>
    <m/>
    <m/>
  </r>
  <r>
    <n v="31"/>
    <x v="0"/>
    <x v="1"/>
    <x v="1"/>
    <d v="2022-02-05T00:00:00"/>
    <x v="1"/>
    <s v="Amey Joshi"/>
    <x v="1"/>
    <s v="IVR D; INC"/>
    <s v="IVR D; INC"/>
    <d v="2026-07-08T00:00:00"/>
    <s v="Sudha"/>
    <n v="8088252546"/>
    <x v="1"/>
    <m/>
    <m/>
    <m/>
  </r>
  <r>
    <n v="31"/>
    <x v="0"/>
    <x v="2"/>
    <x v="2"/>
    <d v="2024-05-07T00:00:00"/>
    <x v="1"/>
    <s v="Amey Joshi"/>
    <x v="1"/>
    <s v="IVR BB/Negative; INC"/>
    <s v="IVR A4; INC"/>
    <d v="2026-07-08T00:00:00"/>
    <s v="Ms. Vandana Pawar"/>
    <n v="9689747079"/>
    <x v="2"/>
    <m/>
    <m/>
    <m/>
  </r>
  <r>
    <n v="30"/>
    <x v="0"/>
    <x v="3"/>
    <x v="3"/>
    <d v="2022-01-04T00:00:00"/>
    <x v="1"/>
    <s v="Amey Joshi"/>
    <x v="2"/>
    <s v="IVR B/ Negative (INC)"/>
    <s v="NA"/>
    <d v="2026-07-09T00:00:00"/>
    <s v="CS Nadeem "/>
    <s v="_x000a_7879533688"/>
    <x v="3"/>
    <m/>
    <m/>
    <m/>
  </r>
  <r>
    <n v="10"/>
    <x v="0"/>
    <x v="4"/>
    <x v="4"/>
    <d v="2024-03-18T00:00:00"/>
    <x v="1"/>
    <s v="Amey Joshi"/>
    <x v="3"/>
    <s v="IVR BB/Negative; INC"/>
    <s v="IVR A4; INC"/>
    <d v="2026-07-29T00:00:00"/>
    <s v=" -"/>
    <s v=" -"/>
    <x v="4"/>
    <m/>
    <m/>
    <m/>
  </r>
  <r>
    <n v="9"/>
    <x v="0"/>
    <x v="5"/>
    <x v="5"/>
    <s v="3/18/2024"/>
    <x v="1"/>
    <s v="Amey Joshi"/>
    <x v="4"/>
    <s v="IVR BB/Negative; INC"/>
    <s v="IVR A4; INC"/>
    <d v="2026-07-30T00:00:00"/>
    <s v="Kuldip Maity"/>
    <n v="9830353213"/>
    <x v="5"/>
    <m/>
    <m/>
    <m/>
  </r>
  <r>
    <n v="9"/>
    <x v="0"/>
    <x v="6"/>
    <x v="6"/>
    <d v="2024-07-23T00:00:00"/>
    <x v="1"/>
    <s v="Amey Joshi"/>
    <x v="4"/>
    <s v="IVR BB/Negative; INC"/>
    <m/>
    <d v="2026-07-30T00:00:00"/>
    <s v="K. S Ganesh "/>
    <n v="9885187006"/>
    <x v="6"/>
    <m/>
    <m/>
    <m/>
  </r>
  <r>
    <n v="7"/>
    <x v="0"/>
    <x v="7"/>
    <x v="7"/>
    <m/>
    <x v="2"/>
    <s v="Sudarshan Shreenivas"/>
    <x v="5"/>
    <s v="IVR B/Negative; INC"/>
    <s v="IVR A4; INC"/>
    <d v="2026-08-01T00:00:00"/>
    <m/>
    <m/>
    <x v="7"/>
    <m/>
    <m/>
    <m/>
  </r>
  <r>
    <n v="4"/>
    <x v="0"/>
    <x v="8"/>
    <x v="8"/>
    <d v="2024-06-05T00:00:00"/>
    <x v="3"/>
    <s v="Rekha Chokkalingam"/>
    <x v="6"/>
    <s v="IVR B/Negative; INC"/>
    <s v="IVR A4; INC"/>
    <d v="2026-08-04T00:00:00"/>
    <s v="Ms. Vandana Pawar"/>
    <n v="9689747079"/>
    <x v="8"/>
    <m/>
    <m/>
    <m/>
  </r>
  <r>
    <n v="1"/>
    <x v="0"/>
    <x v="9"/>
    <x v="9"/>
    <d v="2025-08-07T00:00:00"/>
    <x v="4"/>
    <s v="Gurav Jain"/>
    <x v="7"/>
    <s v="IVR BB/Negative; INC"/>
    <s v="IVR A4+; INC"/>
    <d v="2026-08-07T00:00:00"/>
    <s v=" RAMESH M N"/>
    <n v="9964838949"/>
    <x v="9"/>
    <m/>
    <m/>
    <m/>
  </r>
  <r>
    <n v="1"/>
    <x v="0"/>
    <x v="10"/>
    <x v="10"/>
    <d v="2025-08-07T00:00:00"/>
    <x v="5"/>
    <s v="Rekha Chokkalingam"/>
    <x v="7"/>
    <s v="IVR C/Negative; INC"/>
    <m/>
    <d v="2026-08-07T00:00:00"/>
    <s v="Fr. John Padipurackal"/>
    <n v="9539460076"/>
    <x v="10"/>
    <m/>
    <m/>
    <m/>
  </r>
  <r>
    <n v="0"/>
    <x v="0"/>
    <x v="11"/>
    <x v="11"/>
    <d v="2025-08-08T00:00:00"/>
    <x v="6"/>
    <s v="Amey Joshi"/>
    <x v="8"/>
    <s v="IVR B+/Negative; INC"/>
    <m/>
    <d v="2026-08-08T00:00:00"/>
    <s v="Shivakumar"/>
    <n v="8341622908"/>
    <x v="11"/>
    <m/>
    <m/>
    <m/>
  </r>
  <r>
    <n v="0"/>
    <x v="0"/>
    <x v="12"/>
    <x v="12"/>
    <m/>
    <x v="7"/>
    <s v="Sudarshan Shreenivas"/>
    <x v="8"/>
    <s v="IVR B+/Negative; INC"/>
    <m/>
    <d v="2026-08-08T00:00:00"/>
    <m/>
    <m/>
    <x v="12"/>
    <m/>
    <m/>
    <m/>
  </r>
  <r>
    <n v="0"/>
    <x v="0"/>
    <x v="13"/>
    <x v="12"/>
    <m/>
    <x v="7"/>
    <s v="Sudarshan Shreenivas"/>
    <x v="8"/>
    <s v="IVR B-/Negative; INC"/>
    <m/>
    <d v="2026-08-08T00:00:00"/>
    <m/>
    <m/>
    <x v="13"/>
    <m/>
    <m/>
    <m/>
  </r>
  <r>
    <n v="0"/>
    <x v="0"/>
    <x v="14"/>
    <x v="13"/>
    <d v="2025-08-08T00:00:00"/>
    <x v="5"/>
    <s v="Rekha Chokkalingam"/>
    <x v="8"/>
    <s v="IVR D (INC)"/>
    <m/>
    <d v="2026-08-08T00:00:00"/>
    <s v="K L Sreedhar Reddy"/>
    <n v="9966969669"/>
    <x v="14"/>
    <m/>
    <m/>
    <m/>
  </r>
  <r>
    <n v="-4"/>
    <x v="0"/>
    <x v="15"/>
    <x v="14"/>
    <d v="2023-07-07T00:00:00"/>
    <x v="4"/>
    <s v="Gurav Jain"/>
    <x v="9"/>
    <s v="IVRC+(INC)"/>
    <s v="-"/>
    <d v="2026-08-12T00:00:00"/>
    <s v="Vipul Patel"/>
    <n v="8780726168"/>
    <x v="15"/>
    <m/>
    <m/>
    <m/>
  </r>
  <r>
    <n v="-4"/>
    <x v="0"/>
    <x v="16"/>
    <x v="15"/>
    <d v="2023-05-19T00:00:00"/>
    <x v="4"/>
    <s v="Gurav Jain"/>
    <x v="9"/>
    <s v="IVR B+(INC)"/>
    <s v="-"/>
    <d v="2026-08-12T00:00:00"/>
    <s v="Yash G Brahmbhatt"/>
    <n v="7228847123"/>
    <x v="16"/>
    <m/>
    <m/>
    <m/>
  </r>
  <r>
    <n v="-5"/>
    <x v="0"/>
    <x v="17"/>
    <x v="16"/>
    <s v="8/13/2025"/>
    <x v="8"/>
    <s v="Amey Joshi"/>
    <x v="10"/>
    <s v="IVR BB/Negative (INC)"/>
    <m/>
    <d v="2026-08-13T00:00:00"/>
    <s v="Mr. Sunil Shinde"/>
    <n v="9822024345"/>
    <x v="17"/>
    <m/>
    <m/>
    <m/>
  </r>
  <r>
    <n v="-6"/>
    <x v="0"/>
    <x v="18"/>
    <x v="17"/>
    <d v="2022-04-04T00:00:00"/>
    <x v="9"/>
    <s v="Amey Joshi"/>
    <x v="11"/>
    <s v="IVR D; INC"/>
    <m/>
    <d v="2026-08-14T00:00:00"/>
    <s v="Shyam Prasad"/>
    <n v="9849015839"/>
    <x v="18"/>
    <m/>
    <m/>
    <m/>
  </r>
  <r>
    <n v="-6"/>
    <x v="0"/>
    <x v="19"/>
    <x v="18"/>
    <d v="2023-06-30T00:00:00"/>
    <x v="9"/>
    <s v="Amey Joshi"/>
    <x v="11"/>
    <s v="IVR C/Negative; INC"/>
    <m/>
    <d v="2026-08-14T00:00:00"/>
    <s v="S. Gnanathiraviam"/>
    <n v="9123575701"/>
    <x v="19"/>
    <m/>
    <m/>
    <m/>
  </r>
  <r>
    <n v="-6"/>
    <x v="0"/>
    <x v="20"/>
    <x v="19"/>
    <d v="2022-04-04T00:00:00"/>
    <x v="9"/>
    <s v="Amey Joshi"/>
    <x v="11"/>
    <s v="IVR C+/Negative; INC"/>
    <s v="IVR A4; INC"/>
    <d v="2026-08-14T00:00:00"/>
    <s v="Satyanarayana"/>
    <n v="7288895299"/>
    <x v="20"/>
    <m/>
    <m/>
    <m/>
  </r>
  <r>
    <n v="-6"/>
    <x v="0"/>
    <x v="21"/>
    <x v="20"/>
    <d v="2022-04-18T00:00:00"/>
    <x v="9"/>
    <s v="Amey Joshi"/>
    <x v="11"/>
    <s v="IVR B/Negative;INC"/>
    <s v="IVR A4; INC"/>
    <d v="2026-08-14T00:00:00"/>
    <s v="Mitesh Gajera"/>
    <n v="9819090487"/>
    <x v="21"/>
    <m/>
    <m/>
    <m/>
  </r>
  <r>
    <n v="-6"/>
    <x v="0"/>
    <x v="22"/>
    <x v="21"/>
    <d v="2022-06-02T00:00:00"/>
    <x v="9"/>
    <s v="Amey Joshi"/>
    <x v="11"/>
    <s v="IVR C-/Negative; INC"/>
    <m/>
    <d v="2026-08-14T00:00:00"/>
    <s v="Sudhir Moola"/>
    <n v="8985075002"/>
    <x v="22"/>
    <m/>
    <m/>
    <m/>
  </r>
  <r>
    <n v="-6"/>
    <x v="0"/>
    <x v="23"/>
    <x v="22"/>
    <d v="2024-07-22T00:00:00"/>
    <x v="9"/>
    <s v="Amey Joshi"/>
    <x v="11"/>
    <s v="IVR BB/Negative; INC"/>
    <s v="IVR A4; INC"/>
    <d v="2026-08-14T00:00:00"/>
    <s v="Mr Venkateswaran"/>
    <n v="9750946966"/>
    <x v="23"/>
    <m/>
    <m/>
    <m/>
  </r>
  <r>
    <n v="-11"/>
    <x v="0"/>
    <x v="24"/>
    <x v="23"/>
    <n v="45036"/>
    <x v="10"/>
    <s v="Gurav Jain"/>
    <x v="12"/>
    <s v="IVR B"/>
    <m/>
    <d v="2026-08-19T00:00:00"/>
    <s v="MR. PRAVEER SHETTY"/>
    <n v="9901929333"/>
    <x v="24"/>
    <m/>
    <m/>
    <m/>
  </r>
  <r>
    <n v="-18"/>
    <x v="0"/>
    <x v="25"/>
    <x v="24"/>
    <d v="2021-03-12T00:00:00"/>
    <x v="11"/>
    <s v="Amey Joshi"/>
    <x v="13"/>
    <s v="IVR B-/Negative (INC)"/>
    <s v="IVR A4 (INC)"/>
    <d v="2026-08-26T00:00:00"/>
    <s v="Vuppala .Harsha Vardhan Reddy"/>
    <n v="9652828883"/>
    <x v="25"/>
    <m/>
    <m/>
    <m/>
  </r>
  <r>
    <n v="-18"/>
    <x v="0"/>
    <x v="26"/>
    <x v="25"/>
    <d v="2021-01-14T00:00:00"/>
    <x v="11"/>
    <s v="Amey Joshi"/>
    <x v="13"/>
    <s v="IVR B-/Negative (INC)"/>
    <s v="NA"/>
    <d v="2026-08-26T00:00:00"/>
    <s v="CS Nadeem "/>
    <s v="_x000a_7879533688"/>
    <x v="26"/>
    <m/>
    <m/>
    <m/>
  </r>
  <r>
    <n v="-18"/>
    <x v="0"/>
    <x v="27"/>
    <x v="26"/>
    <d v="2021-03-12T00:00:00"/>
    <x v="11"/>
    <s v="Amey Joshi"/>
    <x v="13"/>
    <s v="IVR B-/Negative (INC)"/>
    <s v="NA"/>
    <d v="2026-08-26T00:00:00"/>
    <s v="CS Nadeem "/>
    <s v="_x000a_7879533688"/>
    <x v="27"/>
    <m/>
    <m/>
    <m/>
  </r>
  <r>
    <n v="-21"/>
    <x v="0"/>
    <x v="28"/>
    <x v="24"/>
    <d v="2024-07-04T00:00:00"/>
    <x v="4"/>
    <s v="Gurav Jain"/>
    <x v="14"/>
    <s v="IVR D (INC)"/>
    <s v="IVR D (INC)"/>
    <d v="2026-08-29T00:00:00"/>
    <s v="MR. LALIT PALWE"/>
    <n v="9527408322"/>
    <x v="28"/>
    <m/>
    <m/>
    <m/>
  </r>
  <r>
    <n v="-24"/>
    <x v="0"/>
    <x v="29"/>
    <x v="27"/>
    <d v="2026-08-31T00:00:00"/>
    <x v="12"/>
    <s v="Amey Joshi"/>
    <x v="15"/>
    <s v="IVR B+ (INC)(Downgraded)"/>
    <s v="IVR A4 (INC)(Reaffirmed)"/>
    <d v="2026-09-01T00:00:00"/>
    <s v="Sayed"/>
    <n v="9725585448"/>
    <x v="29"/>
    <m/>
    <m/>
    <m/>
  </r>
  <r>
    <n v="-24"/>
    <x v="0"/>
    <x v="30"/>
    <x v="12"/>
    <m/>
    <x v="13"/>
    <s v="Sudarshan Shreenivas"/>
    <x v="15"/>
    <m/>
    <m/>
    <d v="2026-09-01T00:00:00"/>
    <s v="Varun Dalal"/>
    <m/>
    <x v="30"/>
    <m/>
    <m/>
    <m/>
  </r>
  <r>
    <n v="-34"/>
    <x v="0"/>
    <x v="31"/>
    <x v="28"/>
    <d v="2025-09-11T00:00:00"/>
    <x v="3"/>
    <s v="Rekha Chokkalingam"/>
    <x v="16"/>
    <s v="IVR BB+/ Negative INC"/>
    <m/>
    <d v="2026-09-11T00:00:00"/>
    <s v="Fr. John Padipurackal"/>
    <n v="9539460076"/>
    <x v="31"/>
    <m/>
    <m/>
    <m/>
  </r>
  <r>
    <n v="-39"/>
    <x v="0"/>
    <x v="32"/>
    <x v="29"/>
    <n v="44340"/>
    <x v="10"/>
    <s v="Gurav Jain"/>
    <x v="17"/>
    <s v="IVR D"/>
    <m/>
    <d v="2026-09-16T00:00:00"/>
    <s v="Arjun Sethi"/>
    <n v="8863000000"/>
    <x v="32"/>
    <m/>
    <m/>
    <m/>
  </r>
  <r>
    <n v="-39"/>
    <x v="0"/>
    <x v="33"/>
    <x v="30"/>
    <n v="44712"/>
    <x v="10"/>
    <s v="Gurav Jain"/>
    <x v="17"/>
    <s v="IVR B+"/>
    <m/>
    <d v="2026-09-16T00:00:00"/>
    <s v="Bhupat Bhuva"/>
    <n v="9426039752"/>
    <x v="33"/>
    <m/>
    <m/>
    <m/>
  </r>
  <r>
    <n v="-39"/>
    <x v="0"/>
    <x v="34"/>
    <x v="31"/>
    <d v="2023-07-07T00:00:00"/>
    <x v="1"/>
    <s v="Amey Joshi"/>
    <x v="17"/>
    <s v="IVR BB-/Negative (INC)"/>
    <s v="IVR A4 (INC)"/>
    <d v="2026-09-16T00:00:00"/>
    <s v="Ramchandran Chellam"/>
    <m/>
    <x v="34"/>
    <m/>
    <m/>
    <m/>
  </r>
  <r>
    <n v="-40"/>
    <x v="0"/>
    <x v="35"/>
    <x v="32"/>
    <d v="2025-12-17T00:00:00"/>
    <x v="9"/>
    <s v="Amey Joshi"/>
    <x v="18"/>
    <s v="IVR BB/Negative; INC"/>
    <s v="IVR A4; INC"/>
    <d v="2026-09-17T00:00:00"/>
    <s v="Rency Jacob"/>
    <m/>
    <x v="35"/>
    <m/>
    <m/>
    <m/>
  </r>
  <r>
    <n v="-42"/>
    <x v="0"/>
    <x v="36"/>
    <x v="33"/>
    <n v="44228"/>
    <x v="10"/>
    <s v="Gurav Jain"/>
    <x v="19"/>
    <s v="IVR C-"/>
    <m/>
    <d v="2026-09-19T00:00:00"/>
    <s v="Parmeshwar Bihani"/>
    <n v="8976594264"/>
    <x v="36"/>
    <m/>
    <m/>
    <m/>
  </r>
  <r>
    <n v="-42"/>
    <x v="0"/>
    <x v="37"/>
    <x v="12"/>
    <m/>
    <x v="14"/>
    <s v="Jyotsna"/>
    <x v="19"/>
    <s v="IVR C-/Negative;INC"/>
    <m/>
    <d v="2026-09-19T00:00:00"/>
    <s v="T RETHINAVALLI"/>
    <n v="9884262082"/>
    <x v="37"/>
    <m/>
    <m/>
    <m/>
  </r>
  <r>
    <n v="-42"/>
    <x v="0"/>
    <x v="38"/>
    <x v="34"/>
    <d v="2025-04-22T00:00:00"/>
    <x v="3"/>
    <s v="Rekha Chokkalingam"/>
    <x v="19"/>
    <s v="IVR BB+/ Negative INC"/>
    <m/>
    <d v="2026-09-19T00:00:00"/>
    <s v="Shivakumar"/>
    <n v="8341622908"/>
    <x v="38"/>
    <m/>
    <m/>
    <m/>
  </r>
  <r>
    <n v="-45"/>
    <x v="0"/>
    <x v="39"/>
    <x v="35"/>
    <d v="2025-02-06T00:00:00"/>
    <x v="6"/>
    <s v="Amey Joshi"/>
    <x v="20"/>
    <m/>
    <s v="IVR A4+ (INC)"/>
    <d v="2026-09-22T00:00:00"/>
    <s v="Ashish Sharma"/>
    <m/>
    <x v="39"/>
    <m/>
    <m/>
    <m/>
  </r>
  <r>
    <n v="-45"/>
    <x v="0"/>
    <x v="40"/>
    <x v="12"/>
    <m/>
    <x v="15"/>
    <s v="Jyotsna"/>
    <x v="20"/>
    <s v="IVR D; INC"/>
    <m/>
    <d v="2026-09-22T00:00:00"/>
    <s v="Dr. Arun Mehra"/>
    <n v="9619562183"/>
    <x v="40"/>
    <m/>
    <m/>
    <m/>
  </r>
  <r>
    <n v="-45"/>
    <x v="0"/>
    <x v="41"/>
    <x v="12"/>
    <m/>
    <x v="16"/>
    <s v="Sudarshan Shreenivas"/>
    <x v="20"/>
    <m/>
    <m/>
    <d v="2026-09-22T00:00:00"/>
    <s v="Chetanbhai Kalaria -9825495563"/>
    <m/>
    <x v="41"/>
    <m/>
    <m/>
    <m/>
  </r>
  <r>
    <n v="-45"/>
    <x v="0"/>
    <x v="42"/>
    <x v="12"/>
    <m/>
    <x v="13"/>
    <s v="Sudarshan Shreenivas"/>
    <x v="20"/>
    <m/>
    <m/>
    <d v="2026-09-22T00:00:00"/>
    <s v="Shinde Sir"/>
    <m/>
    <x v="42"/>
    <m/>
    <m/>
    <m/>
  </r>
  <r>
    <n v="-49"/>
    <x v="0"/>
    <x v="43"/>
    <x v="36"/>
    <s v="5/31/2021"/>
    <x v="1"/>
    <s v="Amey Joshi"/>
    <x v="21"/>
    <s v="IVR B-/Negative (INC)"/>
    <s v="NA"/>
    <d v="2026-09-26T00:00:00"/>
    <s v="-"/>
    <s v="-"/>
    <x v="43"/>
    <m/>
    <m/>
    <m/>
  </r>
  <r>
    <n v="-53"/>
    <x v="0"/>
    <x v="44"/>
    <x v="12"/>
    <m/>
    <x v="17"/>
    <s v="Jyotsna"/>
    <x v="22"/>
    <s v="IVR B+/Negative; INC"/>
    <m/>
    <d v="2026-09-30T00:00:00"/>
    <s v="M.Shaktivel"/>
    <n v="9444990079"/>
    <x v="44"/>
    <m/>
    <m/>
    <m/>
  </r>
  <r>
    <n v="-56"/>
    <x v="0"/>
    <x v="45"/>
    <x v="37"/>
    <d v="2023-08-10T00:00:00"/>
    <x v="18"/>
    <s v="Gurav Jain"/>
    <x v="23"/>
    <s v="IVR D (INC)"/>
    <s v="IVR D (INC)"/>
    <d v="2026-10-03T00:00:00"/>
    <s v="Charmey Shah"/>
    <n v="8291847670"/>
    <x v="45"/>
    <m/>
    <m/>
    <m/>
  </r>
  <r>
    <n v="-59"/>
    <x v="0"/>
    <x v="46"/>
    <x v="24"/>
    <d v="2021-03-19T00:00:00"/>
    <x v="19"/>
    <s v="Gurav Jain"/>
    <x v="24"/>
    <s v="IVR C-; INC"/>
    <s v="IVR A4;INC"/>
    <d v="2026-10-06T00:00:00"/>
    <s v="Mr. Sandip Ghosh"/>
    <n v="9831806069"/>
    <x v="46"/>
    <m/>
    <m/>
    <m/>
  </r>
  <r>
    <n v="-62"/>
    <x v="0"/>
    <x v="47"/>
    <x v="13"/>
    <s v="9/15/2021"/>
    <x v="6"/>
    <s v="Amey Joshi"/>
    <x v="25"/>
    <s v="IVR D (INC)"/>
    <m/>
    <d v="2026-10-09T00:00:00"/>
    <s v="Mr.Deepak Ahluwalia"/>
    <n v="8800203338"/>
    <x v="47"/>
    <m/>
    <m/>
    <m/>
  </r>
  <r>
    <n v="-62"/>
    <x v="0"/>
    <x v="48"/>
    <x v="17"/>
    <n v="45800"/>
    <x v="10"/>
    <s v="Gurav Jain"/>
    <x v="25"/>
    <s v="IVR D; INC"/>
    <s v="IVR D; INC"/>
    <d v="2026-10-09T00:00:00"/>
    <s v="Akhilesh Gupta"/>
    <n v="7828536047"/>
    <x v="48"/>
    <m/>
    <m/>
    <m/>
  </r>
  <r>
    <n v="-62"/>
    <x v="0"/>
    <x v="49"/>
    <x v="12"/>
    <m/>
    <x v="2"/>
    <s v="Sudarshan Shreenivas"/>
    <x v="25"/>
    <m/>
    <m/>
    <d v="2026-10-09T00:00:00"/>
    <m/>
    <m/>
    <x v="49"/>
    <m/>
    <m/>
    <m/>
  </r>
  <r>
    <n v="-63"/>
    <x v="0"/>
    <x v="50"/>
    <x v="12"/>
    <m/>
    <x v="20"/>
    <s v="Sudarshan Shreenivas"/>
    <x v="26"/>
    <m/>
    <m/>
    <d v="2026-10-10T00:00:00"/>
    <s v="Mr. Alok Tiwary-7498603458"/>
    <m/>
    <x v="50"/>
    <m/>
    <m/>
    <m/>
  </r>
  <r>
    <n v="-63"/>
    <x v="0"/>
    <x v="51"/>
    <x v="12"/>
    <m/>
    <x v="20"/>
    <s v="Sudarshan Shreenivas"/>
    <x v="26"/>
    <m/>
    <m/>
    <d v="2026-10-10T00:00:00"/>
    <s v="Tushar Jagtap-7045695474"/>
    <m/>
    <x v="51"/>
    <m/>
    <m/>
    <m/>
  </r>
  <r>
    <n v="-67"/>
    <x v="0"/>
    <x v="52"/>
    <x v="12"/>
    <m/>
    <x v="2"/>
    <s v="Sudarshan Shreenivas"/>
    <x v="27"/>
    <m/>
    <m/>
    <d v="2026-10-14T00:00:00"/>
    <m/>
    <m/>
    <x v="52"/>
    <m/>
    <m/>
    <m/>
  </r>
  <r>
    <n v="-68"/>
    <x v="0"/>
    <x v="53"/>
    <x v="38"/>
    <d v="2023-06-20T00:00:00"/>
    <x v="9"/>
    <s v="Amey Joshi"/>
    <x v="28"/>
    <s v="IVR B+/Negative; NC"/>
    <m/>
    <d v="2026-10-15T00:00:00"/>
    <s v="-"/>
    <s v="-"/>
    <x v="53"/>
    <m/>
    <m/>
    <m/>
  </r>
  <r>
    <n v="-69"/>
    <x v="0"/>
    <x v="54"/>
    <x v="39"/>
    <s v="9/17/2024"/>
    <x v="1"/>
    <s v="Amey Joshi"/>
    <x v="29"/>
    <s v="IVR C-/Negative (INC)"/>
    <s v="NA"/>
    <d v="2026-10-16T00:00:00"/>
    <s v="Shruthi Kumar"/>
    <n v="9990359554"/>
    <x v="54"/>
    <m/>
    <m/>
    <m/>
  </r>
  <r>
    <n v="-69"/>
    <x v="0"/>
    <x v="55"/>
    <x v="40"/>
    <d v="2023-10-08T00:00:00"/>
    <x v="1"/>
    <s v="Amey Joshi"/>
    <x v="29"/>
    <s v="IVR B/ Negative (INC)"/>
    <s v="IVR A4 (INC)"/>
    <d v="2026-10-16T00:00:00"/>
    <s v="-"/>
    <s v="-"/>
    <x v="55"/>
    <m/>
    <m/>
    <m/>
  </r>
  <r>
    <n v="-69"/>
    <x v="0"/>
    <x v="56"/>
    <x v="41"/>
    <s v="3/22/2021"/>
    <x v="1"/>
    <s v="Amey Joshi"/>
    <x v="29"/>
    <s v="IVR B/ Negative (INC)"/>
    <s v="IVR A4 (INC)"/>
    <d v="2026-10-16T00:00:00"/>
    <s v="-"/>
    <s v="-"/>
    <x v="56"/>
    <m/>
    <m/>
    <m/>
  </r>
  <r>
    <n v="-69"/>
    <x v="0"/>
    <x v="57"/>
    <x v="42"/>
    <s v="8/22/2023"/>
    <x v="1"/>
    <s v="Amey Joshi"/>
    <x v="29"/>
    <s v="IVR C+/Negative (INC)"/>
    <s v="NA"/>
    <d v="2026-10-16T00:00:00"/>
    <s v="Ganpathy"/>
    <n v="9892984465"/>
    <x v="57"/>
    <m/>
    <m/>
    <m/>
  </r>
  <r>
    <n v="-69"/>
    <x v="0"/>
    <x v="58"/>
    <x v="9"/>
    <d v="2021-03-02T00:00:00"/>
    <x v="9"/>
    <s v="Amey Joshi"/>
    <x v="29"/>
    <s v="IVR D (INC) - Reaffirmed"/>
    <m/>
    <d v="2026-10-16T00:00:00"/>
    <s v="Kuldip Maity"/>
    <n v="9830353213"/>
    <x v="58"/>
    <m/>
    <m/>
    <m/>
  </r>
  <r>
    <n v="-69"/>
    <x v="0"/>
    <x v="59"/>
    <x v="43"/>
    <d v="2021-03-02T00:00:00"/>
    <x v="9"/>
    <s v="Amey Joshi"/>
    <x v="29"/>
    <s v="IVR D (INC) - Reaffirmed"/>
    <m/>
    <d v="2026-10-16T00:00:00"/>
    <s v="Sonal Bajaj"/>
    <n v="9920769591"/>
    <x v="58"/>
    <m/>
    <m/>
    <m/>
  </r>
  <r>
    <n v="-69"/>
    <x v="0"/>
    <x v="60"/>
    <x v="44"/>
    <d v="2020-05-12T00:00:00"/>
    <x v="9"/>
    <s v="Amey Joshi"/>
    <x v="29"/>
    <s v="IVR C/Negative; INC"/>
    <m/>
    <d v="2026-10-16T00:00:00"/>
    <s v="Ramchandran Chellam"/>
    <m/>
    <x v="59"/>
    <m/>
    <m/>
    <m/>
  </r>
  <r>
    <n v="-70"/>
    <x v="0"/>
    <x v="61"/>
    <x v="12"/>
    <m/>
    <x v="21"/>
    <s v="Sudarshan Shreenivas"/>
    <x v="30"/>
    <m/>
    <m/>
    <d v="2026-10-17T00:00:00"/>
    <s v="Narendra Mallawat"/>
    <m/>
    <x v="60"/>
    <m/>
    <m/>
    <m/>
  </r>
  <r>
    <n v="-70"/>
    <x v="0"/>
    <x v="62"/>
    <x v="45"/>
    <d v="2024-01-27T00:00:00"/>
    <x v="19"/>
    <s v="Gurav Jain"/>
    <x v="30"/>
    <s v="IVR BB; INC"/>
    <s v="IVR A4;INC"/>
    <d v="2026-10-17T00:00:00"/>
    <s v="Mr. Vikash Kumar"/>
    <n v="8340714369"/>
    <x v="61"/>
    <m/>
    <m/>
    <m/>
  </r>
  <r>
    <n v="-70"/>
    <x v="0"/>
    <x v="63"/>
    <x v="46"/>
    <d v="2024-02-27T00:00:00"/>
    <x v="19"/>
    <s v="Gurav Jain"/>
    <x v="30"/>
    <s v="IVR BB+; INC"/>
    <m/>
    <d v="2026-10-17T00:00:00"/>
    <s v="Mr. Keshav Agarwal"/>
    <n v="9199307777"/>
    <x v="62"/>
    <m/>
    <m/>
    <m/>
  </r>
  <r>
    <n v="-76"/>
    <x v="0"/>
    <x v="64"/>
    <x v="47"/>
    <d v="2025-10-23T00:00:00"/>
    <x v="22"/>
    <s v="Amey Joshi"/>
    <x v="31"/>
    <s v="IVR BB+/ Negative; INC"/>
    <m/>
    <d v="2026-10-23T00:00:00"/>
    <m/>
    <m/>
    <x v="63"/>
    <m/>
    <m/>
    <m/>
  </r>
  <r>
    <n v="-80"/>
    <x v="0"/>
    <x v="65"/>
    <x v="48"/>
    <d v="2023-03-07T00:00:00"/>
    <x v="1"/>
    <s v="Amey Joshi"/>
    <x v="32"/>
    <s v="IVR D (INC)"/>
    <s v="IVR D (INC)"/>
    <d v="2026-10-27T00:00:00"/>
    <s v="Rency Jacob"/>
    <m/>
    <x v="64"/>
    <m/>
    <m/>
    <m/>
  </r>
  <r>
    <n v="-80"/>
    <x v="0"/>
    <x v="66"/>
    <x v="49"/>
    <s v="10/27/2025"/>
    <x v="1"/>
    <s v="Amey Joshi"/>
    <x v="32"/>
    <s v="IVR BB+/Negative (INC)"/>
    <s v="NA"/>
    <d v="2026-10-27T00:00:00"/>
    <m/>
    <m/>
    <x v="65"/>
    <m/>
    <m/>
    <m/>
  </r>
  <r>
    <n v="-81"/>
    <x v="0"/>
    <x v="67"/>
    <x v="12"/>
    <m/>
    <x v="13"/>
    <s v="Sudarshan Shreenivas"/>
    <x v="33"/>
    <m/>
    <m/>
    <d v="2026-10-28T00:00:00"/>
    <s v="Sachin Shinde"/>
    <m/>
    <x v="66"/>
    <m/>
    <m/>
    <m/>
  </r>
  <r>
    <n v="-82"/>
    <x v="0"/>
    <x v="68"/>
    <x v="50"/>
    <d v="2024-08-07T00:00:00"/>
    <x v="4"/>
    <s v="Gurav Jain"/>
    <x v="34"/>
    <s v="IVR D (INC)"/>
    <s v="IVR D (INC)"/>
    <d v="2026-10-29T00:00:00"/>
    <s v="Mr. Santosh Wagle"/>
    <n v="9823428798"/>
    <x v="67"/>
    <m/>
    <m/>
    <m/>
  </r>
  <r>
    <n v="-82"/>
    <x v="0"/>
    <x v="69"/>
    <x v="12"/>
    <m/>
    <x v="16"/>
    <s v="Sudarshan Shreenivas"/>
    <x v="34"/>
    <m/>
    <m/>
    <d v="2026-10-29T00:00:00"/>
    <s v="Mr. SASANTH SANKER  -9744722039"/>
    <m/>
    <x v="68"/>
    <m/>
    <m/>
    <m/>
  </r>
  <r>
    <n v="-82"/>
    <x v="0"/>
    <x v="70"/>
    <x v="51"/>
    <d v="2021-04-29T00:00:00"/>
    <x v="11"/>
    <s v="Amey Joshi"/>
    <x v="34"/>
    <s v="IVR C-/Negative (INC)"/>
    <s v="NA"/>
    <d v="2026-10-29T00:00:00"/>
    <s v="Ashish Sharma"/>
    <m/>
    <x v="69"/>
    <m/>
    <m/>
    <m/>
  </r>
  <r>
    <n v="-82"/>
    <x v="0"/>
    <x v="71"/>
    <x v="52"/>
    <d v="2021-04-29T00:00:00"/>
    <x v="11"/>
    <s v="Amey Joshi"/>
    <x v="34"/>
    <s v="IVR C-/Negative (INC)"/>
    <s v="NA"/>
    <d v="2026-10-29T00:00:00"/>
    <s v="Angela Sarna"/>
    <m/>
    <x v="69"/>
    <m/>
    <m/>
    <m/>
  </r>
  <r>
    <n v="-82"/>
    <x v="0"/>
    <x v="72"/>
    <x v="53"/>
    <d v="2021-04-29T00:00:00"/>
    <x v="11"/>
    <s v="Amey Joshi"/>
    <x v="34"/>
    <s v="IVR C-/Negative (INC)"/>
    <s v="NA"/>
    <d v="2026-10-29T00:00:00"/>
    <s v="Mr. Naveen Kumar"/>
    <n v="9008779952"/>
    <x v="69"/>
    <m/>
    <m/>
    <m/>
  </r>
  <r>
    <n v="-83"/>
    <x v="0"/>
    <x v="73"/>
    <x v="54"/>
    <d v="2021-01-11T00:00:00"/>
    <x v="23"/>
    <s v="Amey Joshi"/>
    <x v="35"/>
    <s v="IVR B-/ Negative INC"/>
    <m/>
    <d v="2026-10-30T00:00:00"/>
    <s v="Mr. Milind Murudkar"/>
    <n v="9819002025"/>
    <x v="70"/>
    <m/>
    <m/>
    <m/>
  </r>
  <r>
    <n v="-83"/>
    <x v="0"/>
    <x v="74"/>
    <x v="55"/>
    <d v="2023-07-27T00:00:00"/>
    <x v="23"/>
    <s v="Amey Joshi"/>
    <x v="35"/>
    <s v="IVR B+/ Negative; INC"/>
    <s v="IVR A4/ INC"/>
    <d v="2026-10-30T00:00:00"/>
    <s v="Ms. Punitha K"/>
    <n v="9677714382"/>
    <x v="18"/>
    <m/>
    <m/>
    <m/>
  </r>
  <r>
    <n v="-84"/>
    <x v="0"/>
    <x v="75"/>
    <x v="56"/>
    <d v="2024-09-17T00:00:00"/>
    <x v="24"/>
    <s v="Gurav Jain"/>
    <x v="36"/>
    <s v="IVR B+"/>
    <s v="IVR A4"/>
    <d v="2026-10-31T00:00:00"/>
    <s v="D. P. Borhade"/>
    <n v="9011067113"/>
    <x v="71"/>
    <m/>
    <m/>
    <m/>
  </r>
  <r>
    <n v="-84"/>
    <x v="0"/>
    <x v="76"/>
    <x v="57"/>
    <d v="2022-06-13T00:00:00"/>
    <x v="9"/>
    <s v="Amey Joshi"/>
    <x v="36"/>
    <s v="IVR B+/Negative; INC"/>
    <s v="IVR A4; INC"/>
    <d v="2026-10-31T00:00:00"/>
    <s v="Ms. G Sujata GM"/>
    <n v="9380528473"/>
    <x v="72"/>
    <m/>
    <m/>
    <m/>
  </r>
  <r>
    <n v="-87"/>
    <x v="0"/>
    <x v="77"/>
    <x v="12"/>
    <m/>
    <x v="2"/>
    <s v="Sudarshan Shreenivas"/>
    <x v="37"/>
    <m/>
    <m/>
    <d v="2026-11-03T00:00:00"/>
    <m/>
    <m/>
    <x v="73"/>
    <m/>
    <m/>
    <m/>
  </r>
  <r>
    <n v="-87"/>
    <x v="0"/>
    <x v="78"/>
    <x v="58"/>
    <d v="2024-05-18T00:00:00"/>
    <x v="3"/>
    <s v="Rekha Chokkalingam"/>
    <x v="37"/>
    <s v="IVR BB/ Negative INC"/>
    <m/>
    <d v="2026-11-03T00:00:00"/>
    <s v="K L Sreedhar Reddy"/>
    <n v="9966969669"/>
    <x v="74"/>
    <m/>
    <m/>
    <m/>
  </r>
  <r>
    <n v="-87"/>
    <x v="0"/>
    <x v="79"/>
    <x v="59"/>
    <d v="2021-04-29T00:00:00"/>
    <x v="11"/>
    <s v="Amey Joshi"/>
    <x v="37"/>
    <s v="IVR C-/Negative (INC)"/>
    <s v="NA"/>
    <d v="2026-11-03T00:00:00"/>
    <s v="Vinay Agarwal"/>
    <n v="9646526666"/>
    <x v="69"/>
    <m/>
    <m/>
    <m/>
  </r>
  <r>
    <n v="-88"/>
    <x v="0"/>
    <x v="80"/>
    <x v="17"/>
    <s v="March 27, 2019"/>
    <x v="25"/>
    <s v="Gurav Jain"/>
    <x v="38"/>
    <s v="IVR D (INC)"/>
    <s v="IVR D (INC)"/>
    <d v="2026-11-04T00:00:00"/>
    <s v="Vijay Chugh"/>
    <n v="9810332924"/>
    <x v="75"/>
    <m/>
    <m/>
    <m/>
  </r>
  <r>
    <n v="-88"/>
    <x v="0"/>
    <x v="81"/>
    <x v="60"/>
    <s v="October 5, 2023"/>
    <x v="25"/>
    <s v="Gurav Jain"/>
    <x v="38"/>
    <s v="IVR D (INC)"/>
    <s v="IVR D (INC)"/>
    <d v="2026-11-04T00:00:00"/>
    <s v="Shri Girdhari Lal Khandelwal"/>
    <n v="8979388899"/>
    <x v="76"/>
    <m/>
    <m/>
    <m/>
  </r>
  <r>
    <n v="-88"/>
    <x v="0"/>
    <x v="82"/>
    <x v="61"/>
    <s v="March 27, 2019"/>
    <x v="25"/>
    <s v="Gurav Jain"/>
    <x v="38"/>
    <s v="IVR D (INC)"/>
    <s v="IVR D (INC)"/>
    <d v="2026-11-04T00:00:00"/>
    <s v="Anil Mishra"/>
    <n v="9810332923"/>
    <x v="75"/>
    <m/>
    <m/>
    <m/>
  </r>
  <r>
    <n v="-91"/>
    <x v="0"/>
    <x v="83"/>
    <x v="62"/>
    <m/>
    <x v="23"/>
    <s v="Amey Joshi"/>
    <x v="39"/>
    <s v="IVR D; INC"/>
    <m/>
    <d v="2026-11-07T00:00:00"/>
    <m/>
    <m/>
    <x v="77"/>
    <m/>
    <m/>
    <m/>
  </r>
  <r>
    <n v="-91"/>
    <x v="0"/>
    <x v="84"/>
    <x v="12"/>
    <m/>
    <x v="17"/>
    <s v="Jyotsna"/>
    <x v="39"/>
    <s v="IVR BB/Negative; INC"/>
    <m/>
    <d v="2026-11-07T00:00:00"/>
    <s v="Raventh"/>
    <n v="7010804581"/>
    <x v="78"/>
    <m/>
    <m/>
    <m/>
  </r>
  <r>
    <n v="-91"/>
    <x v="0"/>
    <x v="85"/>
    <x v="63"/>
    <d v="2025-11-07T00:00:00"/>
    <x v="4"/>
    <s v="Gurav Jain"/>
    <x v="39"/>
    <s v="IVR C(INC)"/>
    <s v="IVR A4 (INC)"/>
    <d v="2026-11-07T00:00:00"/>
    <s v="Ramesh Piprottar"/>
    <n v="9898638450"/>
    <x v="79"/>
    <m/>
    <m/>
    <m/>
  </r>
  <r>
    <n v="-94"/>
    <x v="0"/>
    <x v="86"/>
    <x v="64"/>
    <d v="2025-11-10T00:00:00"/>
    <x v="24"/>
    <s v="Gurav Jain"/>
    <x v="40"/>
    <s v="IVR BB"/>
    <s v="IVR A4"/>
    <d v="2026-11-10T00:00:00"/>
    <s v="Satish Manohar Jathar"/>
    <n v="9822260643"/>
    <x v="80"/>
    <m/>
    <m/>
    <m/>
  </r>
  <r>
    <n v="-98"/>
    <x v="0"/>
    <x v="87"/>
    <x v="65"/>
    <d v="2025-11-14T00:00:00"/>
    <x v="26"/>
    <s v="Rekha Chokkalingam"/>
    <x v="41"/>
    <s v="IVR BB-/Negative (INC)"/>
    <m/>
    <d v="2026-11-14T00:00:00"/>
    <s v="VINODKUMAR UMASANKAR SINGH"/>
    <n v="9537936809"/>
    <x v="81"/>
    <m/>
    <m/>
    <m/>
  </r>
  <r>
    <n v="-98"/>
    <x v="0"/>
    <x v="88"/>
    <x v="12"/>
    <m/>
    <x v="17"/>
    <s v="Jyotsna"/>
    <x v="41"/>
    <s v="IVR BB-/Negative; INC"/>
    <m/>
    <d v="2026-11-14T00:00:00"/>
    <s v="Raventh"/>
    <n v="7010804580"/>
    <x v="78"/>
    <m/>
    <m/>
    <m/>
  </r>
  <r>
    <n v="-98"/>
    <x v="0"/>
    <x v="89"/>
    <x v="66"/>
    <d v="2025-11-14T00:00:00"/>
    <x v="4"/>
    <s v="Gurav Jain"/>
    <x v="41"/>
    <s v="IVR BB+(INC)"/>
    <s v="IVR A4+ (INC)"/>
    <d v="2026-11-14T00:00:00"/>
    <s v="Ashishkumar Fulchand Goyal"/>
    <n v="9764134054"/>
    <x v="82"/>
    <m/>
    <m/>
    <m/>
  </r>
  <r>
    <n v="-101"/>
    <x v="0"/>
    <x v="90"/>
    <x v="12"/>
    <m/>
    <x v="16"/>
    <s v="Sudarshan Shreenivas"/>
    <x v="42"/>
    <m/>
    <m/>
    <d v="2026-11-17T00:00:00"/>
    <s v="Jai Chotalia"/>
    <m/>
    <x v="83"/>
    <m/>
    <m/>
    <m/>
  </r>
  <r>
    <n v="-102"/>
    <x v="0"/>
    <x v="91"/>
    <x v="12"/>
    <m/>
    <x v="14"/>
    <s v="Jyotsna"/>
    <x v="43"/>
    <s v="IVR D; INC"/>
    <m/>
    <d v="2026-11-18T00:00:00"/>
    <s v="Abhishek Goyal"/>
    <n v="9179018884"/>
    <x v="84"/>
    <m/>
    <m/>
    <m/>
  </r>
  <r>
    <n v="-104"/>
    <x v="0"/>
    <x v="92"/>
    <x v="10"/>
    <d v="2020-01-06T00:00:00"/>
    <x v="1"/>
    <s v="Amey Joshi"/>
    <x v="44"/>
    <s v="IVR C+/Negative (INC)"/>
    <s v="IVR A4 (INC)"/>
    <d v="2026-11-20T00:00:00"/>
    <s v="Ms. Vandana Pawar"/>
    <n v="9689747079"/>
    <x v="85"/>
    <m/>
    <m/>
    <m/>
  </r>
  <r>
    <n v="-104"/>
    <x v="0"/>
    <x v="93"/>
    <x v="12"/>
    <m/>
    <x v="27"/>
    <s v="Jyotsna"/>
    <x v="44"/>
    <s v="IVR BB-/ Negative; INC"/>
    <m/>
    <d v="2026-11-20T00:00:00"/>
    <s v="Rajesh Hamdev"/>
    <n v="9322274356"/>
    <x v="86"/>
    <m/>
    <m/>
    <m/>
  </r>
  <r>
    <n v="-104"/>
    <x v="0"/>
    <x v="94"/>
    <x v="12"/>
    <m/>
    <x v="27"/>
    <s v="Jyotsna"/>
    <x v="44"/>
    <s v="IVR BB/ Negative; INC"/>
    <m/>
    <d v="2026-11-20T00:00:00"/>
    <s v="Mr. Samanthapudi Suryanarayana Raju"/>
    <n v="9441789000"/>
    <x v="87"/>
    <m/>
    <m/>
    <m/>
  </r>
  <r>
    <n v="-105"/>
    <x v="0"/>
    <x v="95"/>
    <x v="67"/>
    <s v="10/29/2025"/>
    <x v="6"/>
    <s v="Amey Joshi"/>
    <x v="45"/>
    <s v="IVR D (INC)"/>
    <m/>
    <d v="2026-11-21T00:00:00"/>
    <s v="Fr. John Padipurackal"/>
    <n v="9539460076"/>
    <x v="88"/>
    <m/>
    <m/>
    <m/>
  </r>
  <r>
    <n v="-105"/>
    <x v="0"/>
    <x v="96"/>
    <x v="62"/>
    <d v="2019-07-03T00:00:00"/>
    <x v="1"/>
    <s v="Amey Joshi"/>
    <x v="45"/>
    <s v="IVR C/Negative (INC)"/>
    <s v="IVR A4 (INC)"/>
    <d v="2026-11-21T00:00:00"/>
    <s v="Shivakumar"/>
    <n v="8341622908"/>
    <x v="89"/>
    <m/>
    <m/>
    <m/>
  </r>
  <r>
    <n v="-108"/>
    <x v="0"/>
    <x v="97"/>
    <x v="30"/>
    <s v="4/13/2019"/>
    <x v="1"/>
    <s v="Amey Joshi"/>
    <x v="46"/>
    <s v="IVR C-/Negative (INC)"/>
    <s v="NA"/>
    <d v="2026-11-24T00:00:00"/>
    <s v="K L Sreedhar Reddy"/>
    <n v="9966969669"/>
    <x v="90"/>
    <m/>
    <m/>
    <m/>
  </r>
  <r>
    <n v="-109"/>
    <x v="0"/>
    <x v="98"/>
    <x v="62"/>
    <d v="2022-05-30T00:00:00"/>
    <x v="4"/>
    <s v="Gurav Jain"/>
    <x v="47"/>
    <s v="IVR C-(INC)"/>
    <s v="-"/>
    <d v="2026-11-25T00:00:00"/>
    <s v="Ms. Olee Das"/>
    <n v="9101378443"/>
    <x v="91"/>
    <m/>
    <m/>
    <m/>
  </r>
  <r>
    <n v="-110"/>
    <x v="0"/>
    <x v="99"/>
    <x v="68"/>
    <d v="2025-11-26T00:00:00"/>
    <x v="11"/>
    <s v="Amey Joshi"/>
    <x v="48"/>
    <s v="IVR BB+/Negative (INC)"/>
    <s v="IVR A4+ (INC)"/>
    <d v="2026-11-26T00:00:00"/>
    <s v="Mr. Mohit Chadda"/>
    <n v="9921545111"/>
    <x v="92"/>
    <m/>
    <m/>
    <m/>
  </r>
  <r>
    <n v="-117"/>
    <x v="0"/>
    <x v="100"/>
    <x v="12"/>
    <m/>
    <x v="21"/>
    <s v="Sudarshan Shreenivas"/>
    <x v="49"/>
    <m/>
    <m/>
    <d v="2026-12-03T00:00:00"/>
    <m/>
    <m/>
    <x v="93"/>
    <m/>
    <m/>
    <m/>
  </r>
  <r>
    <n v="-118"/>
    <x v="0"/>
    <x v="101"/>
    <x v="12"/>
    <m/>
    <x v="2"/>
    <s v="Sudarshan Shreenivas"/>
    <x v="50"/>
    <m/>
    <m/>
    <d v="2026-12-04T00:00:00"/>
    <m/>
    <m/>
    <x v="94"/>
    <m/>
    <m/>
    <m/>
  </r>
  <r>
    <n v="-118"/>
    <x v="0"/>
    <x v="102"/>
    <x v="69"/>
    <d v="2024-11-11T00:00:00"/>
    <x v="5"/>
    <s v="Rekha Chokkalingam"/>
    <x v="50"/>
    <s v="IVR B/Negative (INC)"/>
    <m/>
    <d v="2026-12-04T00:00:00"/>
    <s v="Mr. Sunil Shinde"/>
    <n v="9822024345"/>
    <x v="95"/>
    <m/>
    <m/>
    <m/>
  </r>
  <r>
    <n v="-122"/>
    <x v="0"/>
    <x v="103"/>
    <x v="70"/>
    <d v="2025-08-12T00:00:00"/>
    <x v="1"/>
    <s v="Amey Joshi"/>
    <x v="51"/>
    <s v="IVR BB+/Negative (INC)"/>
    <s v="IVR A4+ (INC)"/>
    <d v="2026-12-08T00:00:00"/>
    <s v="Mr. Mohit Chadda"/>
    <n v="9921545111"/>
    <x v="96"/>
    <m/>
    <m/>
    <m/>
  </r>
  <r>
    <n v="-124"/>
    <x v="0"/>
    <x v="104"/>
    <x v="71"/>
    <d v="2025-07-02T00:00:00"/>
    <x v="23"/>
    <s v="Amey Joshi"/>
    <x v="52"/>
    <s v="IVR BB+/ Negative, INC"/>
    <s v="IVR A4+/ INC"/>
    <d v="2026-12-10T00:00:00"/>
    <s v="Shyam Prasad"/>
    <n v="9849015839"/>
    <x v="72"/>
    <m/>
    <m/>
    <m/>
  </r>
  <r>
    <n v="-124"/>
    <x v="0"/>
    <x v="105"/>
    <x v="12"/>
    <m/>
    <x v="16"/>
    <s v="Sudarshan Shreenivas"/>
    <x v="52"/>
    <s v="IVR BB+/Negative (INC)"/>
    <m/>
    <d v="2026-12-10T00:00:00"/>
    <s v="Ms. Nikita Wakchaure-7020494378"/>
    <m/>
    <x v="97"/>
    <m/>
    <m/>
    <m/>
  </r>
  <r>
    <n v="-125"/>
    <x v="0"/>
    <x v="106"/>
    <x v="12"/>
    <m/>
    <x v="28"/>
    <s v="Sudarshan Shreenivas"/>
    <x v="53"/>
    <m/>
    <m/>
    <d v="2026-12-11T00:00:00"/>
    <s v="Vijaykumar Savarikar - 9011592154"/>
    <m/>
    <x v="98"/>
    <m/>
    <m/>
    <m/>
  </r>
  <r>
    <n v="-126"/>
    <x v="0"/>
    <x v="107"/>
    <x v="12"/>
    <m/>
    <x v="14"/>
    <s v="Jyotsna"/>
    <x v="54"/>
    <s v="IVRB+/Negative;INC"/>
    <m/>
    <d v="2026-12-12T00:00:00"/>
    <s v="Abhishek Goyal"/>
    <n v="9179018884"/>
    <x v="84"/>
    <m/>
    <m/>
    <m/>
  </r>
  <r>
    <n v="-126"/>
    <x v="0"/>
    <x v="108"/>
    <x v="12"/>
    <m/>
    <x v="20"/>
    <s v="Sudarshan Shreenivas"/>
    <x v="54"/>
    <m/>
    <m/>
    <d v="2026-12-12T00:00:00"/>
    <s v="Mr.Virender Rawat-9560273021"/>
    <m/>
    <x v="99"/>
    <m/>
    <m/>
    <m/>
  </r>
  <r>
    <n v="-130"/>
    <x v="0"/>
    <x v="109"/>
    <x v="72"/>
    <d v="2024-03-30T00:00:00"/>
    <x v="3"/>
    <s v="Rekha Chokkalingam"/>
    <x v="55"/>
    <s v="IVR BB/ Negative INC"/>
    <m/>
    <d v="2026-12-16T00:00:00"/>
    <s v="Mr. Mohit Chadda"/>
    <n v="9921545111"/>
    <x v="100"/>
    <m/>
    <m/>
    <m/>
  </r>
  <r>
    <n v="-132"/>
    <x v="0"/>
    <x v="110"/>
    <x v="73"/>
    <d v="2024-11-19T00:00:00"/>
    <x v="24"/>
    <s v="Gurav Jain"/>
    <x v="56"/>
    <s v="IVR B-"/>
    <s v="IVR A4"/>
    <d v="2026-12-18T00:00:00"/>
    <s v="Mr Jatin P Patel"/>
    <n v="9979986986"/>
    <x v="101"/>
    <m/>
    <m/>
    <m/>
  </r>
  <r>
    <n v="-132"/>
    <x v="0"/>
    <x v="111"/>
    <x v="74"/>
    <d v="2024-11-19T00:00:00"/>
    <x v="4"/>
    <s v="Gurav Jain"/>
    <x v="56"/>
    <s v="IVR B+(INC)"/>
    <s v="-"/>
    <d v="2026-12-18T00:00:00"/>
    <s v="Supriti Sabat"/>
    <n v="9136113791"/>
    <x v="102"/>
    <m/>
    <m/>
    <m/>
  </r>
  <r>
    <n v="-133"/>
    <x v="0"/>
    <x v="112"/>
    <x v="12"/>
    <m/>
    <x v="29"/>
    <s v="Jyotsna"/>
    <x v="57"/>
    <s v="IVR C+/ Negative(INC)"/>
    <m/>
    <d v="2026-12-19T00:00:00"/>
    <s v="Manoj Prabhakar "/>
    <n v="9688628888"/>
    <x v="103"/>
    <m/>
    <m/>
    <m/>
  </r>
  <r>
    <n v="-133"/>
    <x v="0"/>
    <x v="113"/>
    <x v="12"/>
    <m/>
    <x v="27"/>
    <s v="Jyotsna"/>
    <x v="57"/>
    <s v="IVR B-/ Negative; INC"/>
    <m/>
    <d v="2026-12-19T00:00:00"/>
    <s v="Anuj Agrawal"/>
    <n v="9837899918"/>
    <x v="104"/>
    <m/>
    <m/>
    <m/>
  </r>
  <r>
    <n v="-136"/>
    <x v="0"/>
    <x v="114"/>
    <x v="25"/>
    <d v="2022-09-29T00:00:00"/>
    <x v="19"/>
    <s v="Gurav Jain"/>
    <x v="58"/>
    <s v="IVR C+;INC"/>
    <s v="IVR A4;INC"/>
    <d v="2026-12-22T00:00:00"/>
    <s v="Ms. Sushmita Nayak"/>
    <n v="9437085017"/>
    <x v="105"/>
    <m/>
    <m/>
    <m/>
  </r>
  <r>
    <n v="-137"/>
    <x v="0"/>
    <x v="115"/>
    <x v="75"/>
    <d v="2024-11-15T00:00:00"/>
    <x v="18"/>
    <s v="Gurav Jain"/>
    <x v="59"/>
    <s v="IVR BB- (INC)"/>
    <s v="IVR A4 (INC)"/>
    <d v="2026-12-23T00:00:00"/>
    <s v="Maya Jamdar"/>
    <n v="9420343003"/>
    <x v="106"/>
    <m/>
    <m/>
    <m/>
  </r>
  <r>
    <n v="-138"/>
    <x v="0"/>
    <x v="116"/>
    <x v="12"/>
    <m/>
    <x v="28"/>
    <s v="Sudarshan Shreenivas"/>
    <x v="60"/>
    <m/>
    <m/>
    <d v="2026-12-24T00:00:00"/>
    <s v="Rakesh Chadda - 9820212120, Jagdish Nathani- 9167 128362"/>
    <m/>
    <x v="107"/>
    <m/>
    <m/>
    <m/>
  </r>
  <r>
    <n v="-138"/>
    <x v="0"/>
    <x v="117"/>
    <x v="12"/>
    <m/>
    <x v="13"/>
    <s v="Sudarshan Shreenivas"/>
    <x v="60"/>
    <m/>
    <m/>
    <d v="2026-12-24T00:00:00"/>
    <s v="Anoj Agarwala"/>
    <m/>
    <x v="108"/>
    <m/>
    <m/>
    <m/>
  </r>
  <r>
    <n v="-138"/>
    <x v="0"/>
    <x v="118"/>
    <x v="12"/>
    <m/>
    <x v="13"/>
    <s v="Sudarshan Shreenivas"/>
    <x v="60"/>
    <m/>
    <m/>
    <d v="2026-12-24T00:00:00"/>
    <s v="Arun Naik"/>
    <m/>
    <x v="109"/>
    <m/>
    <m/>
    <m/>
  </r>
  <r>
    <n v="-143"/>
    <x v="0"/>
    <x v="119"/>
    <x v="12"/>
    <m/>
    <x v="2"/>
    <s v="Sudarshan Shreenivas"/>
    <x v="61"/>
    <m/>
    <m/>
    <d v="2026-12-29T00:00:00"/>
    <m/>
    <m/>
    <x v="110"/>
    <m/>
    <m/>
    <m/>
  </r>
  <r>
    <n v="-143"/>
    <x v="0"/>
    <x v="120"/>
    <x v="12"/>
    <m/>
    <x v="2"/>
    <s v="Sudarshan Shreenivas"/>
    <x v="61"/>
    <m/>
    <m/>
    <d v="2026-12-29T00:00:00"/>
    <m/>
    <m/>
    <x v="111"/>
    <m/>
    <m/>
    <m/>
  </r>
  <r>
    <n v="-143"/>
    <x v="0"/>
    <x v="121"/>
    <x v="12"/>
    <m/>
    <x v="2"/>
    <s v="Sudarshan Shreenivas"/>
    <x v="61"/>
    <m/>
    <m/>
    <d v="2026-12-29T00:00:00"/>
    <m/>
    <m/>
    <x v="112"/>
    <m/>
    <m/>
    <m/>
  </r>
  <r>
    <n v="-143"/>
    <x v="0"/>
    <x v="122"/>
    <x v="12"/>
    <m/>
    <x v="2"/>
    <s v="Sudarshan Shreenivas"/>
    <x v="61"/>
    <m/>
    <m/>
    <d v="2026-12-29T00:00:00"/>
    <m/>
    <m/>
    <x v="112"/>
    <m/>
    <m/>
    <m/>
  </r>
  <r>
    <n v="-143"/>
    <x v="0"/>
    <x v="123"/>
    <x v="62"/>
    <d v="2025-07-07T00:00:00"/>
    <x v="18"/>
    <s v="Gurav Jain"/>
    <x v="61"/>
    <s v="IVR BB+ (INC)"/>
    <s v="IVR A4+ (INC)"/>
    <d v="2026-12-29T00:00:00"/>
    <s v="Jitendra Prajapat"/>
    <n v="9909991872"/>
    <x v="113"/>
    <m/>
    <m/>
    <m/>
  </r>
  <r>
    <n v="-145"/>
    <x v="0"/>
    <x v="124"/>
    <x v="12"/>
    <m/>
    <x v="30"/>
    <s v="Jyotsna"/>
    <x v="62"/>
    <s v="IVR B+ (INC)"/>
    <m/>
    <d v="2026-12-31T00:00:00"/>
    <s v="Ms. Reshmi Pal"/>
    <n v="9926659276"/>
    <x v="114"/>
    <m/>
    <m/>
    <m/>
  </r>
  <r>
    <n v="-146"/>
    <x v="0"/>
    <x v="125"/>
    <x v="57"/>
    <s v="March 28, 2019"/>
    <x v="25"/>
    <s v="Gurav Jain"/>
    <x v="63"/>
    <s v="IVR D (INC)"/>
    <s v="IVR D (INC)"/>
    <d v="2027-01-01T00:00:00"/>
    <s v="Anil Mishra"/>
    <n v="9810332923"/>
    <x v="75"/>
    <m/>
    <m/>
    <m/>
  </r>
  <r>
    <n v="-147"/>
    <x v="0"/>
    <x v="126"/>
    <x v="76"/>
    <d v="2023-09-28T00:00:00"/>
    <x v="3"/>
    <s v="Rekha Chokkalingam"/>
    <x v="64"/>
    <s v="IVR BB-/ Negative INC"/>
    <m/>
    <d v="2027-01-02T00:00:00"/>
    <s v="Mr. Sunil Shinde"/>
    <n v="9822024345"/>
    <x v="115"/>
    <m/>
    <m/>
    <m/>
  </r>
  <r>
    <n v="-153"/>
    <x v="0"/>
    <x v="127"/>
    <x v="12"/>
    <m/>
    <x v="20"/>
    <s v="Sudarshan Shreenivas"/>
    <x v="65"/>
    <m/>
    <m/>
    <d v="2027-01-08T00:00:00"/>
    <s v="Abhishek Jain-9911181120"/>
    <m/>
    <x v="116"/>
    <m/>
    <m/>
    <m/>
  </r>
  <r>
    <n v="-157"/>
    <x v="0"/>
    <x v="128"/>
    <x v="77"/>
    <d v="2024-01-08T00:00:00"/>
    <x v="22"/>
    <s v="Amey Joshi"/>
    <x v="66"/>
    <s v="IVR D; INC"/>
    <m/>
    <d v="2027-01-12T00:00:00"/>
    <m/>
    <m/>
    <x v="117"/>
    <m/>
    <m/>
    <m/>
  </r>
  <r>
    <n v="-157"/>
    <x v="0"/>
    <x v="129"/>
    <x v="78"/>
    <d v="2024-01-08T00:00:00"/>
    <x v="22"/>
    <s v="Amey Joshi"/>
    <x v="66"/>
    <s v="IVR D; INC"/>
    <m/>
    <d v="2027-01-12T00:00:00"/>
    <m/>
    <m/>
    <x v="117"/>
    <m/>
    <m/>
    <m/>
  </r>
  <r>
    <n v="-157"/>
    <x v="0"/>
    <x v="130"/>
    <x v="28"/>
    <d v="2026-12-01T00:00:00"/>
    <x v="6"/>
    <s v="Amey Joshi"/>
    <x v="66"/>
    <s v="IVR BB+/Negative (INC)"/>
    <m/>
    <d v="2027-01-12T00:00:00"/>
    <m/>
    <n v="7624998984"/>
    <x v="118"/>
    <m/>
    <m/>
    <m/>
  </r>
  <r>
    <n v="-158"/>
    <x v="0"/>
    <x v="131"/>
    <x v="79"/>
    <d v="2023-10-21T00:00:00"/>
    <x v="22"/>
    <s v="Amey Joshi"/>
    <x v="67"/>
    <s v="IVR D; INC"/>
    <m/>
    <d v="2027-01-13T00:00:00"/>
    <m/>
    <m/>
    <x v="119"/>
    <m/>
    <m/>
    <m/>
  </r>
  <r>
    <n v="-168"/>
    <x v="0"/>
    <x v="132"/>
    <x v="80"/>
    <s v="6/28/2023"/>
    <x v="6"/>
    <s v="Amey Joshi"/>
    <x v="68"/>
    <s v="IVR D (INC)"/>
    <m/>
    <d v="2027-01-23T00:00:00"/>
    <s v="Mr Venkateswaran"/>
    <n v="9750946966"/>
    <x v="120"/>
    <m/>
    <m/>
    <m/>
  </r>
  <r>
    <n v="-168"/>
    <x v="0"/>
    <x v="133"/>
    <x v="81"/>
    <d v="2023-09-01T00:00:00"/>
    <x v="6"/>
    <s v="Amey Joshi"/>
    <x v="68"/>
    <s v="IVR C+/Negative (INC)"/>
    <m/>
    <d v="2027-01-23T00:00:00"/>
    <s v="Vuppala .Harsha Vardhan Reddy"/>
    <n v="9652828883"/>
    <x v="121"/>
    <m/>
    <m/>
    <m/>
  </r>
  <r>
    <n v="-168"/>
    <x v="0"/>
    <x v="134"/>
    <x v="81"/>
    <d v="2023-09-01T00:00:00"/>
    <x v="6"/>
    <s v="Amey Joshi"/>
    <x v="68"/>
    <s v="IVR B-/Negative (INC)"/>
    <m/>
    <d v="2027-01-23T00:00:00"/>
    <s v="CS Nadeem "/>
    <s v="_x000a_7879533688"/>
    <x v="122"/>
    <m/>
    <m/>
    <m/>
  </r>
  <r>
    <n v="-168"/>
    <x v="0"/>
    <x v="135"/>
    <x v="82"/>
    <m/>
    <x v="1"/>
    <s v="Amey Joshi"/>
    <x v="68"/>
    <s v="IVR BB-/Negative; INC"/>
    <m/>
    <d v="2027-01-23T00:00:00"/>
    <m/>
    <n v="9552647944"/>
    <x v="123"/>
    <m/>
    <m/>
    <m/>
  </r>
  <r>
    <n v="-173"/>
    <x v="0"/>
    <x v="136"/>
    <x v="12"/>
    <m/>
    <x v="21"/>
    <s v="Sudarshan Shreenivas"/>
    <x v="69"/>
    <m/>
    <m/>
    <d v="2027-01-28T00:00:00"/>
    <s v="Amrit Lal Shah"/>
    <m/>
    <x v="124"/>
    <m/>
    <m/>
    <m/>
  </r>
  <r>
    <n v="-173"/>
    <x v="0"/>
    <x v="137"/>
    <x v="12"/>
    <m/>
    <x v="21"/>
    <s v="Sudarshan Shreenivas"/>
    <x v="69"/>
    <m/>
    <m/>
    <d v="2027-01-28T00:00:00"/>
    <m/>
    <m/>
    <x v="125"/>
    <m/>
    <m/>
    <m/>
  </r>
  <r>
    <n v="-173"/>
    <x v="0"/>
    <x v="138"/>
    <x v="12"/>
    <m/>
    <x v="28"/>
    <s v="Sudarshan Shreenivas"/>
    <x v="69"/>
    <m/>
    <m/>
    <d v="2027-01-28T00:00:00"/>
    <s v="Mr. Shrinivas - 9850308030"/>
    <m/>
    <x v="111"/>
    <m/>
    <m/>
    <m/>
  </r>
  <r>
    <n v="-174"/>
    <x v="0"/>
    <x v="139"/>
    <x v="7"/>
    <d v="2022-08-30T00:00:00"/>
    <x v="22"/>
    <s v="Amey Joshi"/>
    <x v="70"/>
    <s v="IVR D; INC"/>
    <m/>
    <d v="2027-01-29T00:00:00"/>
    <m/>
    <m/>
    <x v="126"/>
    <m/>
    <m/>
    <m/>
  </r>
  <r>
    <n v="-174"/>
    <x v="0"/>
    <x v="140"/>
    <x v="83"/>
    <d v="2022-08-30T00:00:00"/>
    <x v="22"/>
    <s v="Amey Joshi"/>
    <x v="70"/>
    <s v="IVR D; INC"/>
    <m/>
    <d v="2027-01-29T00:00:00"/>
    <m/>
    <m/>
    <x v="126"/>
    <m/>
    <m/>
    <m/>
  </r>
  <r>
    <n v="-180"/>
    <x v="0"/>
    <x v="141"/>
    <x v="84"/>
    <d v="2024-12-17T00:00:00"/>
    <x v="3"/>
    <s v="Rekha Chokkalingam"/>
    <x v="71"/>
    <s v="IVR B+/ Negative INC"/>
    <m/>
    <d v="2027-02-04T00:00:00"/>
    <s v="S. Gnanathiraviam"/>
    <n v="9123575701"/>
    <x v="127"/>
    <m/>
    <m/>
    <m/>
  </r>
  <r>
    <n v="-180"/>
    <x v="0"/>
    <x v="142"/>
    <x v="30"/>
    <d v="2023-10-10T00:00:00"/>
    <x v="3"/>
    <s v="Rekha Chokkalingam"/>
    <x v="71"/>
    <s v="IVR B-/ Negative INC"/>
    <m/>
    <d v="2027-02-04T00:00:00"/>
    <s v="Shyam Prasad"/>
    <n v="9849015839"/>
    <x v="128"/>
    <m/>
    <m/>
    <m/>
  </r>
  <r>
    <n v="-180"/>
    <x v="0"/>
    <x v="143"/>
    <x v="28"/>
    <d v="2024-12-17T00:00:00"/>
    <x v="3"/>
    <s v="Rekha Chokkalingam"/>
    <x v="71"/>
    <s v="IVR BB-/ Negative INC"/>
    <m/>
    <d v="2027-02-04T00:00:00"/>
    <s v="Satyanarayana"/>
    <n v="7288895299"/>
    <x v="129"/>
    <m/>
    <m/>
    <m/>
  </r>
  <r>
    <n v="-181"/>
    <x v="0"/>
    <x v="144"/>
    <x v="12"/>
    <m/>
    <x v="14"/>
    <s v="Jyotsna"/>
    <x v="72"/>
    <s v="IVR B/Negative;INC"/>
    <m/>
    <d v="2027-02-05T00:00:00"/>
    <s v="Jitendra Verma"/>
    <n v="7803800004"/>
    <x v="130"/>
    <m/>
    <m/>
    <m/>
  </r>
  <r>
    <n v="-182"/>
    <x v="0"/>
    <x v="145"/>
    <x v="12"/>
    <m/>
    <x v="29"/>
    <s v="Jyotsna"/>
    <x v="73"/>
    <s v="IVR B+/negative (INC)"/>
    <m/>
    <d v="2027-02-06T00:00:00"/>
    <s v="Amol Palkar"/>
    <n v="8888301140"/>
    <x v="131"/>
    <m/>
    <m/>
    <m/>
  </r>
  <r>
    <n v="-185"/>
    <x v="0"/>
    <x v="146"/>
    <x v="12"/>
    <m/>
    <x v="21"/>
    <s v="Sudarshan Shreenivas"/>
    <x v="74"/>
    <m/>
    <m/>
    <d v="2027-02-09T00:00:00"/>
    <m/>
    <m/>
    <x v="132"/>
    <m/>
    <m/>
    <m/>
  </r>
  <r>
    <n v="-185"/>
    <x v="0"/>
    <x v="147"/>
    <x v="12"/>
    <m/>
    <x v="21"/>
    <s v="Sudarshan Shreenivas"/>
    <x v="74"/>
    <m/>
    <m/>
    <d v="2027-02-09T00:00:00"/>
    <s v="Arun"/>
    <m/>
    <x v="133"/>
    <m/>
    <m/>
    <m/>
  </r>
  <r>
    <n v="-186"/>
    <x v="0"/>
    <x v="148"/>
    <x v="85"/>
    <d v="2024-12-18T00:00:00"/>
    <x v="4"/>
    <s v="Gurav Jain"/>
    <x v="75"/>
    <s v="IVR BB INC"/>
    <s v="IVR A4 (INC)"/>
    <d v="2027-02-10T00:00:00"/>
    <s v="Mangesh Annachhatre"/>
    <n v="9371642430"/>
    <x v="134"/>
    <m/>
    <m/>
    <m/>
  </r>
  <r>
    <n v="-186"/>
    <x v="0"/>
    <x v="149"/>
    <x v="12"/>
    <m/>
    <x v="27"/>
    <s v="Jyotsna"/>
    <x v="75"/>
    <s v="IVR D; INC"/>
    <m/>
    <d v="2027-02-10T00:00:00"/>
    <s v="Hitesh Joshi"/>
    <n v="9586792404"/>
    <x v="135"/>
    <m/>
    <m/>
    <m/>
  </r>
  <r>
    <n v="-196"/>
    <x v="0"/>
    <x v="150"/>
    <x v="86"/>
    <s v="12/22/2023"/>
    <x v="6"/>
    <s v="Amey Joshi"/>
    <x v="76"/>
    <s v="IVR BB-/Negative (INC)"/>
    <s v="IVR A4 (INC)"/>
    <d v="2027-02-20T00:00:00"/>
    <s v="Mr.Deepak Ahluwalia"/>
    <n v="8800203338"/>
    <x v="136"/>
    <m/>
    <m/>
    <m/>
  </r>
  <r>
    <n v="-201"/>
    <x v="0"/>
    <x v="151"/>
    <x v="12"/>
    <m/>
    <x v="28"/>
    <s v="Sudarshan Shreenivas"/>
    <x v="77"/>
    <m/>
    <m/>
    <d v="2027-02-25T00:00:00"/>
    <s v="Mr. Amlam - 9820067565"/>
    <m/>
    <x v="137"/>
    <m/>
    <m/>
    <m/>
  </r>
  <r>
    <n v="-202"/>
    <x v="0"/>
    <x v="152"/>
    <x v="12"/>
    <m/>
    <x v="31"/>
    <s v="Amey Joshi"/>
    <x v="78"/>
    <s v="IVR BB- INC"/>
    <m/>
    <d v="2027-02-26T00:00:00"/>
    <s v="Nikitha - Accts manager "/>
    <n v="8086928283"/>
    <x v="138"/>
    <m/>
    <m/>
    <m/>
  </r>
  <r>
    <n v="-203"/>
    <x v="0"/>
    <x v="153"/>
    <x v="12"/>
    <m/>
    <x v="21"/>
    <s v="Sudarshan Shreenivas"/>
    <x v="79"/>
    <m/>
    <m/>
    <d v="2027-02-27T00:00:00"/>
    <s v="Neeta Tanpure"/>
    <m/>
    <x v="139"/>
    <m/>
    <m/>
    <m/>
  </r>
  <r>
    <n v="-203"/>
    <x v="0"/>
    <x v="154"/>
    <x v="12"/>
    <m/>
    <x v="21"/>
    <s v="Sudarshan Shreenivas"/>
    <x v="79"/>
    <m/>
    <m/>
    <d v="2027-02-27T00:00:00"/>
    <m/>
    <m/>
    <x v="140"/>
    <m/>
    <m/>
    <m/>
  </r>
  <r>
    <n v="-203"/>
    <x v="0"/>
    <x v="155"/>
    <x v="87"/>
    <s v="2/27/2026"/>
    <x v="6"/>
    <s v="Amey Joshi"/>
    <x v="79"/>
    <s v="IVR BB-/Negative (INC)"/>
    <m/>
    <d v="2027-02-27T00:00:00"/>
    <m/>
    <m/>
    <x v="141"/>
    <m/>
    <m/>
    <m/>
  </r>
  <r>
    <n v="-206"/>
    <x v="0"/>
    <x v="156"/>
    <x v="88"/>
    <d v="2023-11-03T00:00:00"/>
    <x v="3"/>
    <s v="Rekha Chokkalingam"/>
    <x v="80"/>
    <s v="IVR B+/ Negative INC"/>
    <m/>
    <d v="2027-03-02T00:00:00"/>
    <s v="Mitesh Gajera"/>
    <n v="9819090487"/>
    <x v="142"/>
    <m/>
    <m/>
    <m/>
  </r>
  <r>
    <n v="-206"/>
    <x v="0"/>
    <x v="157"/>
    <x v="89"/>
    <d v="2023-11-06T00:00:00"/>
    <x v="3"/>
    <s v="Rekha Chokkalingam"/>
    <x v="80"/>
    <s v="IVR B/ Negative INC"/>
    <m/>
    <d v="2027-03-02T00:00:00"/>
    <s v="Sudhir Moola"/>
    <n v="8985075002"/>
    <x v="143"/>
    <m/>
    <m/>
    <m/>
  </r>
  <r>
    <n v="-208"/>
    <x v="0"/>
    <x v="158"/>
    <x v="12"/>
    <m/>
    <x v="20"/>
    <s v="Sudarshan Shreenivas"/>
    <x v="81"/>
    <m/>
    <m/>
    <d v="2027-03-04T00:00:00"/>
    <s v="Rajesh Shripati Tadav-9820909039"/>
    <m/>
    <x v="144"/>
    <m/>
    <m/>
    <m/>
  </r>
  <r>
    <n v="-209"/>
    <x v="0"/>
    <x v="159"/>
    <x v="90"/>
    <d v="2025-01-20T00:00:00"/>
    <x v="9"/>
    <s v="Amey Joshi"/>
    <x v="82"/>
    <s v="IVR BB-;INC/Negative"/>
    <m/>
    <d v="2027-03-05T00:00:00"/>
    <m/>
    <m/>
    <x v="145"/>
    <m/>
    <m/>
    <m/>
  </r>
  <r>
    <n v="-210"/>
    <x v="0"/>
    <x v="160"/>
    <x v="12"/>
    <m/>
    <x v="14"/>
    <s v="Jyotsna"/>
    <x v="83"/>
    <s v="IVR B+/Negative; INC"/>
    <m/>
    <d v="2027-03-06T00:00:00"/>
    <s v="Subramaniam Sivakumar"/>
    <n v="9042850999"/>
    <x v="146"/>
    <m/>
    <m/>
    <m/>
  </r>
  <r>
    <n v="-213"/>
    <x v="0"/>
    <x v="161"/>
    <x v="12"/>
    <m/>
    <x v="27"/>
    <s v="Jyotsna"/>
    <x v="84"/>
    <s v="IVR BB/ Negative; INC"/>
    <m/>
    <d v="2027-03-09T00:00:00"/>
    <s v="Mahaveer"/>
    <n v="9414586691"/>
    <x v="147"/>
    <m/>
    <m/>
    <m/>
  </r>
  <r>
    <n v="-214"/>
    <x v="0"/>
    <x v="162"/>
    <x v="12"/>
    <m/>
    <x v="29"/>
    <s v="Jyotsna"/>
    <x v="85"/>
    <s v="IVR BB-/ Negative; INC"/>
    <m/>
    <d v="2027-03-10T00:00:00"/>
    <s v="Mr. Patil"/>
    <n v="9225628015"/>
    <x v="148"/>
    <m/>
    <m/>
    <m/>
  </r>
  <r>
    <n v="-220"/>
    <x v="0"/>
    <x v="163"/>
    <x v="91"/>
    <s v="2/17/2023"/>
    <x v="6"/>
    <s v="Amey Joshi"/>
    <x v="86"/>
    <s v="IVR D (INC)"/>
    <m/>
    <d v="2027-03-16T00:00:00"/>
    <m/>
    <m/>
    <x v="149"/>
    <m/>
    <m/>
    <m/>
  </r>
  <r>
    <n v="-220"/>
    <x v="0"/>
    <x v="164"/>
    <x v="92"/>
    <s v="3/18/2024"/>
    <x v="6"/>
    <s v="Amey Joshi"/>
    <x v="86"/>
    <s v="IVR D (INC)"/>
    <m/>
    <d v="2027-03-16T00:00:00"/>
    <m/>
    <m/>
    <x v="150"/>
    <m/>
    <m/>
    <m/>
  </r>
  <r>
    <n v="-229"/>
    <x v="0"/>
    <x v="165"/>
    <x v="12"/>
    <m/>
    <x v="27"/>
    <s v="Jyotsna"/>
    <x v="87"/>
    <s v="IVR D; INC"/>
    <m/>
    <d v="2027-03-25T00:00:00"/>
    <s v="Ashish Aggarwal"/>
    <n v="8800090424"/>
    <x v="151"/>
    <m/>
    <m/>
    <m/>
  </r>
  <r>
    <n v="-229"/>
    <x v="0"/>
    <x v="166"/>
    <x v="12"/>
    <m/>
    <x v="27"/>
    <s v="Jyotsna"/>
    <x v="87"/>
    <s v="IVR D; INC"/>
    <m/>
    <d v="2027-03-25T00:00:00"/>
    <s v="Ashish Aggarwal"/>
    <n v="8800090424"/>
    <x v="151"/>
    <m/>
    <m/>
    <m/>
  </r>
  <r>
    <n v="-230"/>
    <x v="0"/>
    <x v="167"/>
    <x v="12"/>
    <m/>
    <x v="28"/>
    <s v="Sudarshan Shreenivas"/>
    <x v="88"/>
    <s v="IVR B+/Negative; INC"/>
    <m/>
    <d v="2027-03-26T00:00:00"/>
    <s v="Devrishi Viyan - 9969522952, Mr Mayank Agarwalla - 7760022929, Ritesh - 9810500076"/>
    <m/>
    <x v="152"/>
    <m/>
    <m/>
    <m/>
  </r>
  <r>
    <n v="-234"/>
    <x v="0"/>
    <x v="168"/>
    <x v="12"/>
    <m/>
    <x v="14"/>
    <s v="Jyotsna"/>
    <x v="89"/>
    <s v="IVR B+/Negative; INC"/>
    <m/>
    <d v="2027-03-30T00:00:00"/>
    <s v="Abhishek Goyal"/>
    <n v="9179018884"/>
    <x v="84"/>
    <m/>
    <m/>
    <m/>
  </r>
  <r>
    <n v="-234"/>
    <x v="0"/>
    <x v="169"/>
    <x v="12"/>
    <m/>
    <x v="14"/>
    <s v="Jyotsna"/>
    <x v="89"/>
    <s v="IVR D; INC"/>
    <m/>
    <d v="2027-03-30T00:00:00"/>
    <s v="Nagamuni Reddy"/>
    <n v="9663692990"/>
    <x v="153"/>
    <m/>
    <m/>
    <m/>
  </r>
  <r>
    <n v="-234"/>
    <x v="0"/>
    <x v="170"/>
    <x v="12"/>
    <m/>
    <x v="27"/>
    <s v="Jyotsna"/>
    <x v="89"/>
    <s v="IVR C/ Negative; INC"/>
    <m/>
    <d v="2027-03-30T00:00:00"/>
    <s v="Ashish Aggarwal"/>
    <n v="8800090424"/>
    <x v="151"/>
    <m/>
    <m/>
    <m/>
  </r>
  <r>
    <n v="-234"/>
    <x v="0"/>
    <x v="171"/>
    <x v="12"/>
    <m/>
    <x v="27"/>
    <s v="Jyotsna"/>
    <x v="89"/>
    <s v="IVR BB; INC"/>
    <m/>
    <d v="2027-03-30T00:00:00"/>
    <s v="BVSS Rama Rao"/>
    <n v="9989773461"/>
    <x v="154"/>
    <m/>
    <m/>
    <m/>
  </r>
  <r>
    <n v="-238"/>
    <x v="0"/>
    <x v="172"/>
    <x v="12"/>
    <m/>
    <x v="17"/>
    <s v="Jyotsna"/>
    <x v="90"/>
    <s v="IVR C+/Negative; INC"/>
    <m/>
    <d v="2027-04-03T00:00:00"/>
    <s v="Ridhesh Patel"/>
    <n v="9687985331"/>
    <x v="155"/>
    <m/>
    <m/>
    <m/>
  </r>
  <r>
    <n v="-238"/>
    <x v="0"/>
    <x v="173"/>
    <x v="93"/>
    <d v="2021-11-11T00:00:00"/>
    <x v="3"/>
    <s v="Rekha Chokkalingam"/>
    <x v="90"/>
    <s v="IVR C+/ Negative INC"/>
    <m/>
    <d v="2027-04-03T00:00:00"/>
    <s v="CS Nadeem "/>
    <s v="_x000a_7879533688"/>
    <x v="156"/>
    <m/>
    <m/>
    <m/>
  </r>
  <r>
    <n v="-238"/>
    <x v="0"/>
    <x v="174"/>
    <x v="94"/>
    <d v="2023-12-20T00:00:00"/>
    <x v="3"/>
    <s v="Rekha Chokkalingam"/>
    <x v="90"/>
    <s v="IVR BB-/ Negative INC"/>
    <m/>
    <d v="2027-04-03T00:00:00"/>
    <s v="Vuppala .Harsha Vardhan Reddy"/>
    <n v="9652828883"/>
    <x v="157"/>
    <m/>
    <m/>
    <m/>
  </r>
  <r>
    <n v="-238"/>
    <x v="0"/>
    <x v="175"/>
    <x v="95"/>
    <d v="2021-11-11T00:00:00"/>
    <x v="3"/>
    <s v="Rekha Chokkalingam"/>
    <x v="90"/>
    <s v="IVR B-/ Negative INC"/>
    <m/>
    <d v="2027-04-03T00:00:00"/>
    <s v="CS Nadeem "/>
    <s v="_x000a_7879533688"/>
    <x v="156"/>
    <m/>
    <m/>
    <m/>
  </r>
  <r>
    <n v="-238"/>
    <x v="0"/>
    <x v="176"/>
    <x v="96"/>
    <d v="2024-01-02T00:00:00"/>
    <x v="3"/>
    <s v="Rekha Chokkalingam"/>
    <x v="90"/>
    <s v="IVR B-/ Negative INC"/>
    <m/>
    <d v="2027-04-03T00:00:00"/>
    <s v="Mr Venkateswaran"/>
    <n v="9750946966"/>
    <x v="158"/>
    <m/>
    <m/>
    <m/>
  </r>
  <r>
    <n v="-238"/>
    <x v="0"/>
    <x v="177"/>
    <x v="97"/>
    <d v="2021-11-11T00:00:00"/>
    <x v="3"/>
    <s v="Rekha Chokkalingam"/>
    <x v="90"/>
    <s v="IVR C+/ Negative INC"/>
    <m/>
    <d v="2027-04-03T00:00:00"/>
    <s v="CS Nadeem "/>
    <s v="_x000a_7879533688"/>
    <x v="156"/>
    <m/>
    <m/>
    <m/>
  </r>
  <r>
    <n v="-238"/>
    <x v="0"/>
    <x v="178"/>
    <x v="98"/>
    <d v="2021-11-11T00:00:00"/>
    <x v="3"/>
    <s v="Rekha Chokkalingam"/>
    <x v="90"/>
    <s v="IVR B-/ Negative INC"/>
    <m/>
    <d v="2027-04-03T00:00:00"/>
    <s v="CS Nadeem "/>
    <s v="_x000a_7879533688"/>
    <x v="156"/>
    <m/>
    <m/>
    <m/>
  </r>
  <r>
    <n v="-243"/>
    <x v="0"/>
    <x v="179"/>
    <x v="99"/>
    <d v="2027-07-04T00:00:00"/>
    <x v="12"/>
    <s v="Amey Joshi"/>
    <x v="91"/>
    <s v="IVR BB+ (INC) (Downgraded)"/>
    <s v="IVR A4+ (INC) (Downgraded)"/>
    <d v="2027-04-08T00:00:00"/>
    <s v="Ranjit Parihar"/>
    <n v="9854218962"/>
    <x v="159"/>
    <m/>
    <m/>
    <m/>
  </r>
  <r>
    <n v="-245"/>
    <x v="0"/>
    <x v="180"/>
    <x v="100"/>
    <s v="3/26/2020"/>
    <x v="6"/>
    <s v="Amey Joshi"/>
    <x v="92"/>
    <s v="IVR B-/Negative (INC)"/>
    <m/>
    <d v="2027-04-10T00:00:00"/>
    <m/>
    <m/>
    <x v="160"/>
    <m/>
    <m/>
    <m/>
  </r>
  <r>
    <n v="-245"/>
    <x v="0"/>
    <x v="181"/>
    <x v="17"/>
    <s v="4/30/2025"/>
    <x v="6"/>
    <s v="Amey Joshi"/>
    <x v="92"/>
    <s v="IVR C+/Negative (INC)"/>
    <m/>
    <d v="2027-04-10T00:00:00"/>
    <m/>
    <n v="8867328484"/>
    <x v="161"/>
    <m/>
    <m/>
    <m/>
  </r>
  <r>
    <n v="-249"/>
    <x v="0"/>
    <x v="182"/>
    <x v="12"/>
    <m/>
    <x v="14"/>
    <s v="Jyotsna"/>
    <x v="93"/>
    <s v="IVR B-/ Negtative; INC"/>
    <m/>
    <d v="2027-04-14T00:00:00"/>
    <s v="Nagamuni Reddy"/>
    <n v="9663692990"/>
    <x v="153"/>
    <m/>
    <m/>
    <m/>
  </r>
  <r>
    <n v="-249"/>
    <x v="0"/>
    <x v="183"/>
    <x v="12"/>
    <m/>
    <x v="7"/>
    <s v="Sudarshan Shreenivas"/>
    <x v="93"/>
    <m/>
    <m/>
    <d v="2027-04-14T00:00:00"/>
    <m/>
    <m/>
    <x v="162"/>
    <m/>
    <m/>
    <m/>
  </r>
  <r>
    <n v="-251"/>
    <x v="0"/>
    <x v="184"/>
    <x v="12"/>
    <m/>
    <x v="20"/>
    <s v="Sudarshan Shreenivas"/>
    <x v="94"/>
    <m/>
    <m/>
    <d v="2027-04-16T00:00:00"/>
    <s v="Mr  Amol Prabhu-9819475589"/>
    <m/>
    <x v="163"/>
    <m/>
    <m/>
    <m/>
  </r>
  <r>
    <n v="-252"/>
    <x v="0"/>
    <x v="185"/>
    <x v="12"/>
    <m/>
    <x v="20"/>
    <s v="Sudarshan Shreenivas"/>
    <x v="95"/>
    <m/>
    <m/>
    <d v="2027-04-17T00:00:00"/>
    <s v=" Mr. Pratik Singh-_x0009_9920213111"/>
    <m/>
    <x v="164"/>
    <m/>
    <m/>
    <m/>
  </r>
  <r>
    <n v="-256"/>
    <x v="0"/>
    <x v="186"/>
    <x v="101"/>
    <d v="2024-01-04T00:00:00"/>
    <x v="22"/>
    <s v="Amey Joshi"/>
    <x v="96"/>
    <s v="IVR B/ Negative INC"/>
    <m/>
    <d v="2027-04-21T00:00:00"/>
    <m/>
    <m/>
    <x v="165"/>
    <m/>
    <m/>
    <m/>
  </r>
  <r>
    <n v="-258"/>
    <x v="0"/>
    <x v="187"/>
    <x v="12"/>
    <m/>
    <x v="2"/>
    <s v="Sudarshan Shreenivas"/>
    <x v="97"/>
    <m/>
    <m/>
    <d v="2027-04-23T00:00:00"/>
    <m/>
    <m/>
    <x v="166"/>
    <m/>
    <m/>
    <m/>
  </r>
  <r>
    <n v="-259"/>
    <x v="0"/>
    <x v="188"/>
    <x v="17"/>
    <d v="2026-04-24T00:00:00"/>
    <x v="32"/>
    <s v="Amey Joshi"/>
    <x v="98"/>
    <s v="IVR BB+/Negative (INC)"/>
    <m/>
    <d v="2027-04-24T00:00:00"/>
    <m/>
    <m/>
    <x v="23"/>
    <m/>
    <m/>
    <m/>
  </r>
  <r>
    <n v="-269"/>
    <x v="0"/>
    <x v="189"/>
    <x v="42"/>
    <d v="2026-05-04T00:00:00"/>
    <x v="32"/>
    <s v="Amey Joshi"/>
    <x v="99"/>
    <s v="IVR BB/Negative (INC)"/>
    <m/>
    <d v="2027-05-04T00:00:00"/>
    <m/>
    <m/>
    <x v="35"/>
    <m/>
    <m/>
    <m/>
  </r>
  <r>
    <n v="-271"/>
    <x v="0"/>
    <x v="190"/>
    <x v="12"/>
    <m/>
    <x v="14"/>
    <s v="Jyotsna"/>
    <x v="100"/>
    <s v="IVR BB+/Negative; INC"/>
    <m/>
    <d v="2027-05-06T00:00:00"/>
    <s v="AbhijIt Jadav"/>
    <n v="9970055053"/>
    <x v="167"/>
    <m/>
    <m/>
    <m/>
  </r>
  <r>
    <n v="-271"/>
    <x v="0"/>
    <x v="191"/>
    <x v="12"/>
    <m/>
    <x v="17"/>
    <s v="Jyotsna"/>
    <x v="100"/>
    <s v="IVR B/Negative;INC"/>
    <m/>
    <d v="2027-05-06T00:00:00"/>
    <s v="Snehal Shah"/>
    <n v="7940042426"/>
    <x v="168"/>
    <m/>
    <m/>
    <m/>
  </r>
  <r>
    <n v="-271"/>
    <x v="0"/>
    <x v="192"/>
    <x v="12"/>
    <m/>
    <x v="17"/>
    <s v="Jyotsna"/>
    <x v="100"/>
    <s v="IVR C/ Negative; INC"/>
    <m/>
    <d v="2027-05-06T00:00:00"/>
    <s v="Bruendra Singh"/>
    <n v="9452278099"/>
    <x v="169"/>
    <m/>
    <m/>
    <m/>
  </r>
  <r>
    <n v="-271"/>
    <x v="0"/>
    <x v="193"/>
    <x v="102"/>
    <d v="2021-11-13T00:00:00"/>
    <x v="11"/>
    <s v="Amey Joshi"/>
    <x v="100"/>
    <s v="IVR C/Negative (INC)"/>
    <s v="NA"/>
    <d v="2027-05-06T00:00:00"/>
    <m/>
    <m/>
    <x v="170"/>
    <m/>
    <m/>
    <m/>
  </r>
  <r>
    <n v="-271"/>
    <x v="0"/>
    <x v="194"/>
    <x v="44"/>
    <d v="2020-06-20T00:00:00"/>
    <x v="11"/>
    <s v="Amey Joshi"/>
    <x v="100"/>
    <s v="IVR C/Negative (INC)"/>
    <s v="NA"/>
    <d v="2027-05-06T00:00:00"/>
    <m/>
    <m/>
    <x v="171"/>
    <m/>
    <m/>
    <m/>
  </r>
  <r>
    <n v="-271"/>
    <x v="0"/>
    <x v="195"/>
    <x v="103"/>
    <s v="8/18/2021"/>
    <x v="1"/>
    <s v="Amey Joshi"/>
    <x v="100"/>
    <s v="IVR D (INC)"/>
    <s v="IVR D (INC)"/>
    <d v="2027-05-06T00:00:00"/>
    <m/>
    <m/>
    <x v="172"/>
    <m/>
    <m/>
    <m/>
  </r>
  <r>
    <n v="-272"/>
    <x v="0"/>
    <x v="196"/>
    <x v="28"/>
    <d v="2019-03-28T00:00:00"/>
    <x v="3"/>
    <s v="Rekha Chokkalingam"/>
    <x v="101"/>
    <s v="IVR D INC"/>
    <m/>
    <d v="2027-05-07T00:00:00"/>
    <s v="Mr.Deepak Ahluwalia"/>
    <n v="8800203338"/>
    <x v="173"/>
    <m/>
    <m/>
    <m/>
  </r>
  <r>
    <n v="-276"/>
    <x v="0"/>
    <x v="197"/>
    <x v="104"/>
    <d v="2026-05-11T00:00:00"/>
    <x v="11"/>
    <s v="Amey Joshi"/>
    <x v="102"/>
    <s v="IVR BB+/Negative (INC)"/>
    <s v="IVR A4+ (INC)"/>
    <d v="2027-05-11T00:00:00"/>
    <m/>
    <m/>
    <x v="174"/>
    <m/>
    <m/>
    <m/>
  </r>
  <r>
    <n v="-276"/>
    <x v="0"/>
    <x v="198"/>
    <x v="12"/>
    <m/>
    <x v="29"/>
    <s v="Jyotsna"/>
    <x v="102"/>
    <s v="IVR BB-/ Negative; INC"/>
    <m/>
    <d v="2027-05-11T00:00:00"/>
    <s v="Mr. M. K. Thomas"/>
    <n v="9821419318"/>
    <x v="175"/>
    <m/>
    <m/>
    <m/>
  </r>
  <r>
    <n v="-279"/>
    <x v="0"/>
    <x v="199"/>
    <x v="12"/>
    <m/>
    <x v="30"/>
    <s v="Jyotsna"/>
    <x v="103"/>
    <s v="IVR BB-/Negative "/>
    <m/>
    <d v="2027-05-14T00:00:00"/>
    <s v="Rajesh Duggad "/>
    <n v="9326622533"/>
    <x v="176"/>
    <m/>
    <m/>
    <m/>
  </r>
  <r>
    <n v="-279"/>
    <x v="0"/>
    <x v="200"/>
    <x v="12"/>
    <m/>
    <x v="30"/>
    <s v="Jyotsna"/>
    <x v="103"/>
    <s v="IVR B+/negative (INC)/INVR A4"/>
    <m/>
    <d v="2027-05-14T00:00:00"/>
    <s v="Amit gupta "/>
    <n v="9833585812"/>
    <x v="177"/>
    <m/>
    <m/>
    <m/>
  </r>
  <r>
    <n v="-283"/>
    <x v="0"/>
    <x v="201"/>
    <x v="105"/>
    <d v="2021-03-25T00:00:00"/>
    <x v="4"/>
    <s v="Gurav Jain"/>
    <x v="104"/>
    <s v="IVR C(INC)"/>
    <s v="IVR A4 (INC)"/>
    <d v="2027-05-18T00:00:00"/>
    <s v="Mahesh Petluru"/>
    <n v="9445959394"/>
    <x v="178"/>
    <m/>
    <m/>
    <m/>
  </r>
  <r>
    <n v="-283"/>
    <x v="0"/>
    <x v="202"/>
    <x v="106"/>
    <d v="2021-12-21T00:00:00"/>
    <x v="4"/>
    <s v="Gurav Jain"/>
    <x v="104"/>
    <s v="IVR D (INC)"/>
    <s v="-"/>
    <d v="2027-05-18T00:00:00"/>
    <s v="MR. ANIL CHOPRA"/>
    <n v="9818199978"/>
    <x v="179"/>
    <m/>
    <m/>
    <m/>
  </r>
  <r>
    <n v="-283"/>
    <x v="0"/>
    <x v="203"/>
    <x v="107"/>
    <d v="2021-02-26T00:00:00"/>
    <x v="4"/>
    <s v="Gurav Jain"/>
    <x v="104"/>
    <s v="IVR C+(INC)"/>
    <s v="-"/>
    <d v="2027-05-18T00:00:00"/>
    <s v="Mr Datia"/>
    <n v="8303426580"/>
    <x v="180"/>
    <m/>
    <m/>
    <m/>
  </r>
  <r>
    <n v="-283"/>
    <x v="0"/>
    <x v="204"/>
    <x v="108"/>
    <d v="2021-01-28T00:00:00"/>
    <x v="4"/>
    <s v="Gurav Jain"/>
    <x v="104"/>
    <s v="IVR B-(INC)"/>
    <s v="IVR A4 (INC)"/>
    <d v="2027-05-18T00:00:00"/>
    <s v="Mr. G Kumar"/>
    <n v="7708008747"/>
    <x v="181"/>
    <m/>
    <m/>
    <m/>
  </r>
  <r>
    <n v="-283"/>
    <x v="0"/>
    <x v="205"/>
    <x v="12"/>
    <m/>
    <x v="20"/>
    <s v="Sudarshan Shreenivas"/>
    <x v="104"/>
    <m/>
    <m/>
    <d v="2027-05-18T00:00:00"/>
    <s v="Mr. J.Santhoosh-9659255555"/>
    <m/>
    <x v="182"/>
    <m/>
    <m/>
    <m/>
  </r>
  <r>
    <n v="-287"/>
    <x v="0"/>
    <x v="206"/>
    <x v="12"/>
    <m/>
    <x v="30"/>
    <s v="Jyotsna"/>
    <x v="105"/>
    <s v="IVR BB/INC "/>
    <m/>
    <d v="2027-05-22T00:00:00"/>
    <s v="Karan Narendra Kothari "/>
    <n v="9422903704"/>
    <x v="183"/>
    <m/>
    <m/>
    <m/>
  </r>
  <r>
    <n v="-291"/>
    <x v="0"/>
    <x v="207"/>
    <x v="109"/>
    <s v="3/13/2024"/>
    <x v="1"/>
    <s v="Amey Joshi"/>
    <x v="106"/>
    <s v="IVR B+/ Negative (INC)"/>
    <s v="IVR A4 (INC)"/>
    <d v="2027-05-26T00:00:00"/>
    <m/>
    <m/>
    <x v="184"/>
    <m/>
    <m/>
    <m/>
  </r>
  <r>
    <n v="-291"/>
    <x v="0"/>
    <x v="208"/>
    <x v="110"/>
    <d v="2024-12-03T00:00:00"/>
    <x v="1"/>
    <s v="Amey Joshi"/>
    <x v="106"/>
    <s v="IVR D (INC)"/>
    <s v="IVR D (INC)"/>
    <d v="2027-05-26T00:00:00"/>
    <m/>
    <m/>
    <x v="185"/>
    <m/>
    <m/>
    <m/>
  </r>
  <r>
    <n v="-292"/>
    <x v="0"/>
    <x v="209"/>
    <x v="111"/>
    <d v="2025-04-04T00:00:00"/>
    <x v="9"/>
    <s v="Amey Joshi"/>
    <x v="107"/>
    <s v="IVR BB-; INC/Negative,"/>
    <s v="IVR A4; INC"/>
    <d v="2027-05-27T00:00:00"/>
    <m/>
    <m/>
    <x v="70"/>
    <m/>
    <m/>
    <m/>
  </r>
  <r>
    <n v="-293"/>
    <x v="0"/>
    <x v="210"/>
    <x v="12"/>
    <m/>
    <x v="14"/>
    <s v="Jyotsna"/>
    <x v="108"/>
    <s v="IVR B+/Negative; INC"/>
    <m/>
    <d v="2027-05-28T00:00:00"/>
    <s v="Abhishek Goyal"/>
    <n v="9179018884"/>
    <x v="84"/>
    <m/>
    <m/>
    <m/>
  </r>
  <r>
    <n v="-293"/>
    <x v="0"/>
    <x v="211"/>
    <x v="112"/>
    <n v="44928"/>
    <x v="10"/>
    <s v="Gurav Jain"/>
    <x v="108"/>
    <s v="IVR D"/>
    <s v="IVR D; INC"/>
    <d v="2027-05-28T00:00:00"/>
    <s v="Subash Bansal"/>
    <n v="9871890407"/>
    <x v="186"/>
    <m/>
    <m/>
    <m/>
  </r>
  <r>
    <n v="-293"/>
    <x v="0"/>
    <x v="212"/>
    <x v="113"/>
    <n v="45341"/>
    <x v="10"/>
    <s v="Gurav Jain"/>
    <x v="108"/>
    <s v="IVR B-;INC"/>
    <s v="IVR A4;INC"/>
    <d v="2027-05-28T00:00:00"/>
    <s v="Mr. Sanjay Jain"/>
    <n v="7999894867"/>
    <x v="187"/>
    <m/>
    <m/>
    <m/>
  </r>
  <r>
    <n v="-294"/>
    <x v="0"/>
    <x v="213"/>
    <x v="12"/>
    <m/>
    <x v="17"/>
    <s v="Jyotsna"/>
    <x v="109"/>
    <s v="IVR C+/Negative; INC"/>
    <m/>
    <d v="2027-05-29T00:00:00"/>
    <s v="Subhankar Kanungo"/>
    <n v="8509147710"/>
    <x v="188"/>
    <m/>
    <m/>
    <m/>
  </r>
  <r>
    <n v="-298"/>
    <x v="0"/>
    <x v="214"/>
    <x v="12"/>
    <m/>
    <x v="21"/>
    <s v="Sudarshan Shreenivas"/>
    <x v="110"/>
    <m/>
    <m/>
    <d v="2027-06-02T00:00:00"/>
    <s v="Arun Shukla"/>
    <m/>
    <x v="189"/>
    <m/>
    <m/>
    <m/>
  </r>
  <r>
    <n v="-298"/>
    <x v="0"/>
    <x v="215"/>
    <x v="12"/>
    <m/>
    <x v="27"/>
    <s v="Jyotsna"/>
    <x v="110"/>
    <s v="IVR C+/ Negative; INC"/>
    <m/>
    <d v="2027-06-02T00:00:00"/>
    <s v="Brahman D"/>
    <n v="9848346333"/>
    <x v="190"/>
    <m/>
    <m/>
    <m/>
  </r>
  <r>
    <n v="-298"/>
    <x v="0"/>
    <x v="216"/>
    <x v="12"/>
    <m/>
    <x v="27"/>
    <s v="Jyotsna"/>
    <x v="110"/>
    <s v="IVR D; INC"/>
    <m/>
    <d v="2027-06-02T00:00:00"/>
    <s v="Chetan Sharma"/>
    <n v="9675335843"/>
    <x v="191"/>
    <m/>
    <m/>
    <m/>
  </r>
  <r>
    <n v="-298"/>
    <x v="0"/>
    <x v="217"/>
    <x v="12"/>
    <m/>
    <x v="27"/>
    <s v="Jyotsna"/>
    <x v="110"/>
    <s v="IVR D; INC"/>
    <m/>
    <d v="2027-06-02T00:00:00"/>
    <s v="Krishan Gautam"/>
    <n v="1142524445"/>
    <x v="192"/>
    <m/>
    <m/>
    <m/>
  </r>
  <r>
    <n v="-298"/>
    <x v="0"/>
    <x v="218"/>
    <x v="12"/>
    <m/>
    <x v="27"/>
    <s v="Jyotsna"/>
    <x v="110"/>
    <s v="IVR B-/ Negtative; INC"/>
    <m/>
    <d v="2027-06-02T00:00:00"/>
    <s v="Jitendra Agarwal"/>
    <n v="9920150016"/>
    <x v="193"/>
    <m/>
    <m/>
    <m/>
  </r>
  <r>
    <n v="-298"/>
    <x v="0"/>
    <x v="219"/>
    <x v="12"/>
    <m/>
    <x v="27"/>
    <s v="Jyotsna"/>
    <x v="110"/>
    <s v="IVR D; INC"/>
    <m/>
    <d v="2027-06-02T00:00:00"/>
    <s v="Bajrang Lal Jhedu"/>
    <n v="9979866895"/>
    <x v="194"/>
    <m/>
    <m/>
    <m/>
  </r>
  <r>
    <n v="-299"/>
    <x v="0"/>
    <x v="220"/>
    <x v="17"/>
    <d v="2024-03-18T00:00:00"/>
    <x v="22"/>
    <s v="Amey Joshi"/>
    <x v="111"/>
    <s v="IVR B+/ Negative; INC"/>
    <m/>
    <d v="2027-06-03T00:00:00"/>
    <m/>
    <m/>
    <x v="195"/>
    <m/>
    <m/>
    <m/>
  </r>
  <r>
    <n v="-299"/>
    <x v="0"/>
    <x v="221"/>
    <x v="31"/>
    <d v="2025-04-16T00:00:00"/>
    <x v="22"/>
    <s v="Amey Joshi"/>
    <x v="111"/>
    <s v="IVR B+/ Negative; INC"/>
    <m/>
    <d v="2027-06-03T00:00:00"/>
    <m/>
    <m/>
    <x v="196"/>
    <m/>
    <m/>
    <m/>
  </r>
  <r>
    <n v="-300"/>
    <x v="0"/>
    <x v="222"/>
    <x v="12"/>
    <m/>
    <x v="33"/>
    <s v="Jyotsna"/>
    <x v="112"/>
    <s v="IVR D; INC"/>
    <m/>
    <d v="2027-06-04T00:00:00"/>
    <s v="Prem Chand Gupta"/>
    <m/>
    <x v="197"/>
    <m/>
    <m/>
    <m/>
  </r>
  <r>
    <n v="-300"/>
    <x v="0"/>
    <x v="223"/>
    <x v="12"/>
    <m/>
    <x v="33"/>
    <s v="Jyotsna"/>
    <x v="112"/>
    <s v="IVR D; INC"/>
    <m/>
    <d v="2027-06-04T00:00:00"/>
    <s v="Prem Chand Gupta"/>
    <m/>
    <x v="197"/>
    <m/>
    <m/>
    <m/>
  </r>
  <r>
    <n v="-305"/>
    <x v="1"/>
    <x v="224"/>
    <x v="12"/>
    <m/>
    <x v="33"/>
    <s v="Jyotsna"/>
    <x v="113"/>
    <s v="IVR D; INC"/>
    <m/>
    <d v="2027-06-09T00:00:00"/>
    <s v="Prem Chand Gupta"/>
    <m/>
    <x v="198"/>
    <m/>
    <m/>
    <m/>
  </r>
  <r>
    <n v="-307"/>
    <x v="1"/>
    <x v="225"/>
    <x v="114"/>
    <d v="2025-03-24T00:00:00"/>
    <x v="24"/>
    <s v="Gurav Jain"/>
    <x v="114"/>
    <s v="IVR BB"/>
    <s v="IVR A4"/>
    <d v="2027-06-11T00:00:00"/>
    <s v="Yogesh Tajanpure"/>
    <n v="8805807976"/>
    <x v="199"/>
    <m/>
    <m/>
    <m/>
  </r>
  <r>
    <n v="-307"/>
    <x v="1"/>
    <x v="226"/>
    <x v="115"/>
    <d v="2024-03-20T00:00:00"/>
    <x v="24"/>
    <s v="Gurav Jain"/>
    <x v="114"/>
    <s v="IVR BB-"/>
    <s v="IVR A4"/>
    <d v="2027-06-11T00:00:00"/>
    <s v="BV Ranga Nayakulu"/>
    <n v="8096663355"/>
    <x v="200"/>
    <m/>
    <m/>
    <m/>
  </r>
  <r>
    <n v="-307"/>
    <x v="1"/>
    <x v="227"/>
    <x v="116"/>
    <d v="2025-04-15T00:00:00"/>
    <x v="9"/>
    <s v="Amey Joshi"/>
    <x v="114"/>
    <s v="IVR BB-;INC/Negative"/>
    <m/>
    <d v="2027-06-11T00:00:00"/>
    <s v="Ujjval Desai"/>
    <m/>
    <x v="201"/>
    <m/>
    <m/>
    <m/>
  </r>
  <r>
    <n v="-308"/>
    <x v="1"/>
    <x v="228"/>
    <x v="117"/>
    <m/>
    <x v="29"/>
    <s v="Jyotsna"/>
    <x v="115"/>
    <s v="IVR B-/Negative(INC)"/>
    <m/>
    <d v="2027-06-12T00:00:00"/>
    <s v="Mr. Karthik"/>
    <n v="7358076655"/>
    <x v="202"/>
    <m/>
    <m/>
    <m/>
  </r>
  <r>
    <n v="-308"/>
    <x v="1"/>
    <x v="229"/>
    <x v="92"/>
    <d v="2025-03-24T00:00:00"/>
    <x v="18"/>
    <s v="Gurav Jain"/>
    <x v="115"/>
    <s v="IVR BB+ (INC)"/>
    <s v="IVR A4+ (INC)"/>
    <d v="2027-06-12T00:00:00"/>
    <s v="Abhay Asalkar"/>
    <n v="8390115544"/>
    <x v="203"/>
    <m/>
    <m/>
    <m/>
  </r>
  <r>
    <n v="-308"/>
    <x v="0"/>
    <x v="230"/>
    <x v="12"/>
    <m/>
    <x v="20"/>
    <s v="Sudarshan Shreenivas"/>
    <x v="115"/>
    <m/>
    <m/>
    <d v="2027-06-12T00:00:00"/>
    <s v="DEVARAJAN K- 9952839549"/>
    <m/>
    <x v="204"/>
    <m/>
    <m/>
    <m/>
  </r>
  <r>
    <n v="-312"/>
    <x v="0"/>
    <x v="231"/>
    <x v="12"/>
    <m/>
    <x v="31"/>
    <s v="Amey Joshi"/>
    <x v="116"/>
    <s v="IVR B INC"/>
    <m/>
    <d v="2027-06-16T00:00:00"/>
    <s v="Nikitha - Accts manager "/>
    <n v="8086928283"/>
    <x v="138"/>
    <m/>
    <m/>
    <m/>
  </r>
  <r>
    <n v="-319"/>
    <x v="1"/>
    <x v="232"/>
    <x v="118"/>
    <n v="45768"/>
    <x v="10"/>
    <s v="Gurav Jain"/>
    <x v="117"/>
    <s v="IVR BB;INC"/>
    <s v="IVR A4; INC"/>
    <d v="2027-06-23T00:00:00"/>
    <s v="Mr. Vijay Jaiswani"/>
    <n v="9827014909"/>
    <x v="205"/>
    <m/>
    <s v="Kalpit Agarwal"/>
    <m/>
  </r>
  <r>
    <n v="-319"/>
    <x v="1"/>
    <x v="233"/>
    <x v="119"/>
    <d v="2021-01-03T00:00:00"/>
    <x v="9"/>
    <s v="Amey Joshi"/>
    <x v="117"/>
    <s v="IVR B (INC) - Downgraded,"/>
    <s v="IVR A4 (INC) - Reaffirmed"/>
    <d v="2027-06-23T00:00:00"/>
    <s v="Prabhesh Kumar Singh"/>
    <m/>
    <x v="206"/>
    <m/>
    <s v="Jasveer Singh Gohlan"/>
    <m/>
  </r>
  <r>
    <n v="-319"/>
    <x v="1"/>
    <x v="234"/>
    <x v="120"/>
    <m/>
    <x v="13"/>
    <s v="Sudarshan Shreenivas"/>
    <x v="117"/>
    <s v="IVR B+; INC"/>
    <m/>
    <d v="2027-06-23T00:00:00"/>
    <m/>
    <m/>
    <x v="207"/>
    <m/>
    <s v="Amit Kumar Srivastava"/>
    <m/>
  </r>
  <r>
    <n v="-319"/>
    <x v="1"/>
    <x v="235"/>
    <x v="121"/>
    <d v="2025-04-06T00:00:00"/>
    <x v="8"/>
    <s v="Amey Joshi"/>
    <x v="117"/>
    <s v="IVR D (INC)"/>
    <m/>
    <d v="2027-06-23T00:00:00"/>
    <m/>
    <m/>
    <x v="208"/>
    <m/>
    <s v="Jaidev"/>
    <m/>
  </r>
  <r>
    <n v="-319"/>
    <x v="1"/>
    <x v="236"/>
    <x v="55"/>
    <d v="2025-04-06T00:00:00"/>
    <x v="8"/>
    <s v="Amey Joshi"/>
    <x v="117"/>
    <s v="IVR D (INC)"/>
    <m/>
    <d v="2027-06-23T00:00:00"/>
    <s v=" -"/>
    <s v=" -"/>
    <x v="209"/>
    <m/>
    <s v="Baseera Banu"/>
    <m/>
  </r>
  <r>
    <n v="-319"/>
    <x v="1"/>
    <x v="237"/>
    <x v="122"/>
    <d v="2025-04-06T00:00:00"/>
    <x v="8"/>
    <s v="Amey Joshi"/>
    <x v="117"/>
    <s v="IVR D (INC)"/>
    <m/>
    <d v="2027-06-23T00:00:00"/>
    <s v=" -"/>
    <s v=" -"/>
    <x v="210"/>
    <m/>
    <s v="Jaidev"/>
    <m/>
  </r>
  <r>
    <n v="-319"/>
    <x v="1"/>
    <x v="238"/>
    <x v="123"/>
    <d v="2021-08-04T00:00:00"/>
    <x v="11"/>
    <s v="Amey Joshi"/>
    <x v="117"/>
    <s v="IVR D (INC)"/>
    <s v="NA"/>
    <d v="2027-06-23T00:00:00"/>
    <s v=" -"/>
    <s v=" -"/>
    <x v="211"/>
    <m/>
    <s v="Kuldeep Kumar Arora"/>
    <m/>
  </r>
  <r>
    <n v="-319"/>
    <x v="1"/>
    <x v="239"/>
    <x v="7"/>
    <d v="2026-01-29T00:00:00"/>
    <x v="11"/>
    <s v="Amey Joshi"/>
    <x v="117"/>
    <s v="IVR BB+;(INC)"/>
    <s v="IVR A3 (INC)"/>
    <d v="2027-06-23T00:00:00"/>
    <s v="CS Nadeem "/>
    <s v="_x000a_7879533688"/>
    <x v="212"/>
    <m/>
    <s v="Jaidev"/>
    <m/>
  </r>
  <r>
    <n v="-329"/>
    <x v="1"/>
    <x v="240"/>
    <x v="124"/>
    <d v="2026-08-05T00:00:00"/>
    <x v="12"/>
    <s v="Amey Joshi"/>
    <x v="118"/>
    <s v="IVR BB-/Negative (INC)"/>
    <s v="IVR A4; INC"/>
    <d v="2027-07-03T00:00:00"/>
    <s v="Nirmal Sharma"/>
    <n v="9867020252"/>
    <x v="213"/>
    <m/>
    <s v="Jaidev"/>
    <m/>
  </r>
  <r>
    <n v="-329"/>
    <x v="1"/>
    <x v="241"/>
    <x v="92"/>
    <d v="2025-05-12T00:00:00"/>
    <x v="6"/>
    <s v="Amey Joshi"/>
    <x v="118"/>
    <s v="IVR B+/Negative (INC)"/>
    <m/>
    <d v="2027-07-03T00:00:00"/>
    <s v="AKHILESH BHOSLE"/>
    <n v="9441423666"/>
    <x v="214"/>
    <m/>
    <s v="Devendra Singh"/>
    <m/>
  </r>
  <r>
    <n v="-332"/>
    <x v="1"/>
    <x v="242"/>
    <x v="125"/>
    <m/>
    <x v="28"/>
    <s v="Sudarshan Shreenivas"/>
    <x v="119"/>
    <s v="IVR B+/Negative; INC"/>
    <m/>
    <d v="2027-07-06T00:00:00"/>
    <s v="1._x0009_Ms. Sowmya Nayak – Mobile no : 9880942696 , 2._x0009_Mr. Renjith RS – Mobile no.: 7625092517 , 5._x0009_Ms. Reshmi Nair– Mobile no. : 9970747234"/>
    <m/>
    <x v="215"/>
    <m/>
    <m/>
    <m/>
  </r>
  <r>
    <n v="-332"/>
    <x v="1"/>
    <x v="243"/>
    <x v="126"/>
    <m/>
    <x v="21"/>
    <s v="Sudarshan Shreenivas"/>
    <x v="119"/>
    <s v="IVR C+/Negative; INC"/>
    <m/>
    <d v="2027-07-06T00:00:00"/>
    <m/>
    <m/>
    <x v="216"/>
    <m/>
    <s v="Jaidev"/>
    <m/>
  </r>
  <r>
    <n v="-332"/>
    <x v="1"/>
    <x v="244"/>
    <x v="127"/>
    <m/>
    <x v="21"/>
    <s v="Sudarshan Shreenivas"/>
    <x v="119"/>
    <s v="IVR D; INC"/>
    <m/>
    <d v="2027-07-06T00:00:00"/>
    <m/>
    <m/>
    <x v="217"/>
    <m/>
    <s v="Jaidev"/>
    <m/>
  </r>
  <r>
    <n v="-332"/>
    <x v="1"/>
    <x v="245"/>
    <x v="128"/>
    <d v="2021-12-22T00:00:00"/>
    <x v="9"/>
    <s v="Amey Joshi"/>
    <x v="119"/>
    <s v="IVR C-/Negative (INC)"/>
    <s v="IVR A4; INC"/>
    <d v="2027-07-06T00:00:00"/>
    <s v="Rajendra Thakkar"/>
    <m/>
    <x v="218"/>
    <m/>
    <s v="Dheeraj Jaiswal"/>
    <m/>
  </r>
  <r>
    <n v="-332"/>
    <x v="1"/>
    <x v="246"/>
    <x v="129"/>
    <d v="2023-10-03T00:00:00"/>
    <x v="9"/>
    <s v="Amey Joshi"/>
    <x v="119"/>
    <s v="IVR B-/Negative; INC"/>
    <m/>
    <d v="2027-07-06T00:00:00"/>
    <s v="Vinay Agarwal"/>
    <n v="9646526666"/>
    <x v="219"/>
    <m/>
    <s v="Pulkit Tyagi"/>
    <m/>
  </r>
  <r>
    <n v="-332"/>
    <x v="1"/>
    <x v="247"/>
    <x v="120"/>
    <m/>
    <x v="2"/>
    <s v="Sudarshan Shreenivas"/>
    <x v="119"/>
    <s v="IVR D; INC"/>
    <m/>
    <d v="2027-07-06T00:00:00"/>
    <m/>
    <m/>
    <x v="220"/>
    <m/>
    <s v="Divyesh Kantilal Jadav"/>
    <m/>
  </r>
  <r>
    <n v="-332"/>
    <x v="1"/>
    <x v="248"/>
    <x v="130"/>
    <m/>
    <x v="7"/>
    <s v="Sudarshan Shreenivas"/>
    <x v="119"/>
    <s v="IVR BB-/Negative; INC"/>
    <s v="IVR A4; INC"/>
    <d v="2027-07-06T00:00:00"/>
    <m/>
    <m/>
    <x v="221"/>
    <m/>
    <s v="Jaidev"/>
    <m/>
  </r>
  <r>
    <n v="-340"/>
    <x v="1"/>
    <x v="249"/>
    <x v="16"/>
    <d v="2025-05-30T00:00:00"/>
    <x v="26"/>
    <s v="Rekha Chokkalingam"/>
    <x v="120"/>
    <s v="IVR BB/Negative; INC"/>
    <s v="IVR A4; INC"/>
    <d v="2027-07-14T00:00:00"/>
    <s v=" -"/>
    <s v=" -"/>
    <x v="222"/>
    <m/>
    <m/>
    <m/>
  </r>
  <r>
    <n v="-341"/>
    <x v="1"/>
    <x v="250"/>
    <x v="131"/>
    <m/>
    <x v="16"/>
    <s v="Sudarshan Shreenivas"/>
    <x v="121"/>
    <s v="IVR BB-/Negative; INC"/>
    <m/>
    <d v="2027-07-15T00:00:00"/>
    <s v="S Neeraj -9833106655"/>
    <m/>
    <x v="223"/>
    <m/>
    <s v="Vikas Sharma"/>
    <d v="2026-07-10T00:00:00"/>
  </r>
  <r>
    <n v="-341"/>
    <x v="1"/>
    <x v="251"/>
    <x v="132"/>
    <m/>
    <x v="7"/>
    <s v="Sudarshan Shreenivas"/>
    <x v="121"/>
    <s v="IVR BB-(CE)/Negative; INC"/>
    <s v="IVR A4(CE); INC"/>
    <d v="2027-07-15T00:00:00"/>
    <m/>
    <m/>
    <x v="221"/>
    <m/>
    <s v="Prabhat Khare"/>
    <d v="2026-07-10T00:00:00"/>
  </r>
  <r>
    <n v="-341"/>
    <x v="1"/>
    <x v="252"/>
    <x v="133"/>
    <m/>
    <x v="7"/>
    <s v="Sudarshan Shreenivas"/>
    <x v="121"/>
    <s v="IVR BB/Negative; INC"/>
    <m/>
    <d v="2027-07-15T00:00:00"/>
    <m/>
    <m/>
    <x v="224"/>
    <m/>
    <s v="Vikas Sharma"/>
    <d v="2026-07-10T00:00:00"/>
  </r>
  <r>
    <n v="-341"/>
    <x v="1"/>
    <x v="253"/>
    <x v="134"/>
    <d v="2021-12-31T00:00:00"/>
    <x v="9"/>
    <s v="Amey Joshi"/>
    <x v="121"/>
    <s v="IVR D; INC"/>
    <m/>
    <d v="2027-07-15T00:00:00"/>
    <s v=" -"/>
    <s v=" -"/>
    <x v="225"/>
    <m/>
    <s v="Pratim Banerjii"/>
    <d v="2026-07-10T00:00:00"/>
  </r>
  <r>
    <n v="-341"/>
    <x v="1"/>
    <x v="254"/>
    <x v="135"/>
    <d v="2023-03-17T00:00:00"/>
    <x v="5"/>
    <s v="Rekha Chokkalingam"/>
    <x v="121"/>
    <s v="IVR B/Negative; INC"/>
    <s v="IVR A4; INC"/>
    <d v="2027-07-15T00:00:00"/>
    <s v="Sonal Bajaj"/>
    <n v="9920769591"/>
    <x v="226"/>
    <m/>
    <s v="Sathisha NS"/>
    <d v="2026-07-10T00:00:00"/>
  </r>
  <r>
    <n v="-341"/>
    <x v="1"/>
    <x v="255"/>
    <x v="136"/>
    <d v="2021-12-30T00:00:00"/>
    <x v="9"/>
    <s v="Amey Joshi"/>
    <x v="121"/>
    <s v="IVR C-/Negative; INC"/>
    <s v="IVR A4; INC"/>
    <d v="2027-07-15T00:00:00"/>
    <s v="Shruthi Kumar"/>
    <n v="9990359554"/>
    <x v="227"/>
    <m/>
    <s v="Dheeraj Jaiswal"/>
    <d v="2026-07-10T00:00:00"/>
  </r>
  <r>
    <n v="-341"/>
    <x v="1"/>
    <x v="256"/>
    <x v="137"/>
    <m/>
    <x v="21"/>
    <s v="Sudarshan Shreenivas"/>
    <x v="121"/>
    <s v="IVR D; INC"/>
    <m/>
    <d v="2027-07-15T00:00:00"/>
    <s v="Manish Shah"/>
    <m/>
    <x v="228"/>
    <m/>
    <s v="Jasveer Singh Gohlan"/>
    <d v="2026-07-10T00:00:00"/>
  </r>
  <r>
    <n v="-341"/>
    <x v="1"/>
    <x v="257"/>
    <x v="138"/>
    <m/>
    <x v="28"/>
    <s v="Sudarshan Shreenivas"/>
    <x v="121"/>
    <s v="IVR B+/Negative; INC"/>
    <s v="IVR A4; INC"/>
    <d v="2027-07-15T00:00:00"/>
    <s v="Piyush Sachnai - 9326841214"/>
    <m/>
    <x v="229"/>
    <m/>
    <s v="Dheeraj Jaiswal"/>
    <d v="2026-07-10T00:00:00"/>
  </r>
  <r>
    <n v="-341"/>
    <x v="1"/>
    <x v="258"/>
    <x v="139"/>
    <m/>
    <x v="28"/>
    <s v="Sudarshan Shreenivas"/>
    <x v="121"/>
    <s v="IVR B+/Negative; INC"/>
    <s v="IVR A4; INC"/>
    <d v="2027-07-15T00:00:00"/>
    <s v="Piyush Sachnai - 9326841214"/>
    <m/>
    <x v="230"/>
    <m/>
    <s v="Dheeraj Jaiswal"/>
    <d v="2026-07-10T00:00:00"/>
  </r>
  <r>
    <n v="-342"/>
    <x v="1"/>
    <x v="259"/>
    <x v="140"/>
    <d v="2021-01-04T00:00:00"/>
    <x v="19"/>
    <s v="Gurav Jain"/>
    <x v="122"/>
    <s v="IVR C/Negative; INC"/>
    <s v="IVR A4;INC"/>
    <d v="2027-07-16T00:00:00"/>
    <s v="Mr. Sanjay Agarwal"/>
    <n v="9838776751"/>
    <x v="231"/>
    <m/>
    <s v="B K Bajaj"/>
    <d v="2026-07-16T00:00:00"/>
  </r>
  <r>
    <n v="-346"/>
    <x v="1"/>
    <x v="260"/>
    <x v="141"/>
    <m/>
    <x v="2"/>
    <s v="Sudarshan Shreenivas"/>
    <x v="123"/>
    <s v="IVR BB/Negative; INC"/>
    <s v="IVR A4; INC"/>
    <d v="2027-07-20T00:00:00"/>
    <m/>
    <m/>
    <x v="232"/>
    <m/>
    <s v="K Sudhakar"/>
    <d v="2026-07-16T00:00:00"/>
  </r>
  <r>
    <n v="-346"/>
    <x v="1"/>
    <x v="261"/>
    <x v="30"/>
    <d v="2026-05-06T00:00:00"/>
    <x v="12"/>
    <s v="Amey Joshi"/>
    <x v="123"/>
    <s v="IVR BB/Negative; INC"/>
    <s v="IVR A4; INC"/>
    <d v="2027-07-20T00:00:00"/>
    <s v="Akshay deep"/>
    <n v="8630632634"/>
    <x v="233"/>
    <m/>
    <s v="Vidhi Kanojia"/>
    <d v="2026-07-16T00:00:00"/>
  </r>
  <r>
    <n v="-346"/>
    <x v="1"/>
    <x v="262"/>
    <x v="142"/>
    <m/>
    <x v="21"/>
    <s v="Sudarshan Shreenivas"/>
    <x v="123"/>
    <s v="IVR B/Negative; INC"/>
    <s v="IVR A4; INC"/>
    <d v="2027-07-20T00:00:00"/>
    <m/>
    <m/>
    <x v="234"/>
    <m/>
    <s v="Jasveer Singh Gohlan"/>
    <d v="2026-07-16T00:00:00"/>
  </r>
  <r>
    <n v="-346"/>
    <x v="1"/>
    <x v="263"/>
    <x v="17"/>
    <d v="2021-01-02T00:00:00"/>
    <x v="1"/>
    <s v="Amey Joshi"/>
    <x v="123"/>
    <s v="IVR B-/Negative; INC"/>
    <s v="IVR A4; INC"/>
    <d v="2027-07-20T00:00:00"/>
    <s v=" -"/>
    <s v=" -"/>
    <x v="235"/>
    <m/>
    <s v="Pratim Banerjii"/>
    <d v="2026-07-16T00:00:00"/>
  </r>
  <r>
    <n v="-346"/>
    <x v="1"/>
    <x v="264"/>
    <x v="143"/>
    <d v="2024-04-22T00:00:00"/>
    <x v="4"/>
    <s v="Gurav Jain"/>
    <x v="123"/>
    <s v="IVR B+/Negative; INC"/>
    <s v="IVR A4 (INC)"/>
    <d v="2027-07-20T00:00:00"/>
    <s v="SATHIAMOORTHY A"/>
    <n v="9894600727"/>
    <x v="236"/>
    <m/>
    <s v="K Sudhakar"/>
    <d v="2026-07-16T00:00:00"/>
  </r>
  <r>
    <n v="-346"/>
    <x v="1"/>
    <x v="265"/>
    <x v="144"/>
    <d v="2024-04-26T00:00:00"/>
    <x v="3"/>
    <s v="Rekha Chokkalingam"/>
    <x v="123"/>
    <s v="IVR C+/Negative; INC"/>
    <s v="IVR A4; INC"/>
    <d v="2027-07-20T00:00:00"/>
    <s v="K. S Ganesh "/>
    <n v="9885187006"/>
    <x v="237"/>
    <m/>
    <s v="K Suresh Babu"/>
    <d v="2026-07-16T00:00:00"/>
  </r>
  <r>
    <n v="-346"/>
    <x v="1"/>
    <x v="266"/>
    <x v="145"/>
    <d v="2025-05-26T00:00:00"/>
    <x v="24"/>
    <s v="Gurav Jain"/>
    <x v="123"/>
    <s v="IVR C/Negative; INC"/>
    <s v="IVR A4; INC"/>
    <d v="2027-07-20T00:00:00"/>
    <s v="R Ranganathan"/>
    <n v="9600050694"/>
    <x v="238"/>
    <m/>
    <s v="Jaidev"/>
    <d v="2026-07-17T00:00:00"/>
  </r>
  <r>
    <n v="-355"/>
    <x v="1"/>
    <x v="267"/>
    <x v="146"/>
    <n v="45842"/>
    <x v="10"/>
    <s v="Gurav Jain"/>
    <x v="124"/>
    <s v="IVR D; INC"/>
    <s v="IVR D; INC"/>
    <d v="2027-07-29T00:00:00"/>
    <s v="Abhijit Vaze"/>
    <n v="8928551814"/>
    <x v="239"/>
    <m/>
    <s v="NA"/>
    <d v="2026-07-28T00:00:00"/>
  </r>
  <r>
    <n v="-360"/>
    <x v="1"/>
    <x v="268"/>
    <x v="147"/>
    <m/>
    <x v="31"/>
    <s v="Amey Joshi"/>
    <x v="125"/>
    <s v="IVR BB+/Negative; INC"/>
    <m/>
    <d v="2027-08-03T00:00:00"/>
    <s v="GVBD Hari Prasad"/>
    <n v="7893538899"/>
    <x v="240"/>
    <m/>
    <s v="M. Hari Babu"/>
    <d v="2026-07-30T00:00:00"/>
  </r>
  <r>
    <n v="-362"/>
    <x v="1"/>
    <x v="269"/>
    <x v="148"/>
    <d v="2023-03-30T00:00:00"/>
    <x v="3"/>
    <s v="Rekha Chokkalingam"/>
    <x v="126"/>
    <s v="IVR B+/Negative; INC"/>
    <m/>
    <d v="2027-08-05T00:00:00"/>
    <s v="Mr. D Srikant"/>
    <s v="_x000a_9849910454"/>
    <x v="241"/>
    <m/>
    <s v="Udari Srinivas"/>
    <d v="2026-07-31T00:00:00"/>
  </r>
  <r>
    <n v="-362"/>
    <x v="1"/>
    <x v="270"/>
    <x v="149"/>
    <d v="2024-05-27T00:00:00"/>
    <x v="4"/>
    <s v="Gurav Jain"/>
    <x v="126"/>
    <s v="IVR D; INC"/>
    <s v="IVR D; INC"/>
    <d v="2027-08-05T00:00:00"/>
    <s v="Pramod kumar aggarawal"/>
    <n v="9000951563"/>
    <x v="242"/>
    <m/>
    <s v="Jaidev"/>
    <d v="2026-07-31T00:00:00"/>
  </r>
  <r>
    <n v="-362"/>
    <x v="1"/>
    <x v="271"/>
    <x v="113"/>
    <d v="2024-05-28T00:00:00"/>
    <x v="3"/>
    <s v="Rekha Chokkalingam"/>
    <x v="126"/>
    <s v="IVR BB/Negative; INC"/>
    <s v="IVR A4; INC"/>
    <d v="2027-08-05T00:00:00"/>
    <s v="Sudha"/>
    <n v="8088252546"/>
    <x v="243"/>
    <m/>
    <s v="Sathisha NS"/>
    <d v="2026-07-31T00:00:00"/>
  </r>
  <r>
    <n v="-362"/>
    <x v="1"/>
    <x v="272"/>
    <x v="10"/>
    <s v="6/14/2023"/>
    <x v="1"/>
    <s v="Amey Joshi"/>
    <x v="126"/>
    <s v="IVR B+/Negative; INC"/>
    <s v="IVR A4; INC"/>
    <d v="2027-08-05T00:00:00"/>
    <s v=" -"/>
    <s v=" -"/>
    <x v="244"/>
    <m/>
    <s v="Raj Kiran Kumar"/>
    <d v="2026-07-31T00:00:00"/>
  </r>
  <r>
    <n v="-362"/>
    <x v="1"/>
    <x v="273"/>
    <x v="150"/>
    <m/>
    <x v="29"/>
    <s v="Jyotsna"/>
    <x v="126"/>
    <s v="IVR B/Negative; INC"/>
    <m/>
    <d v="2027-08-05T00:00:00"/>
    <s v="Ramakrishna"/>
    <n v="9923201070"/>
    <x v="245"/>
    <m/>
    <s v="M. Hari Babu"/>
    <d v="2026-07-31T00:00:00"/>
  </r>
  <r>
    <n v="-362"/>
    <x v="1"/>
    <x v="274"/>
    <x v="151"/>
    <d v="2023-04-06T00:00:00"/>
    <x v="4"/>
    <s v="Gurav Jain"/>
    <x v="126"/>
    <s v="IVR B/Negative; INC"/>
    <s v="IVR A4; INC"/>
    <d v="2027-08-05T00:00:00"/>
    <s v="Mr. Abhijeet"/>
    <n v="9867664948"/>
    <x v="246"/>
    <m/>
    <s v="Vikas Sharma"/>
    <d v="2026-07-31T00:00:00"/>
  </r>
  <r>
    <n v="-362"/>
    <x v="1"/>
    <x v="275"/>
    <x v="152"/>
    <d v="2024-05-28T00:00:00"/>
    <x v="3"/>
    <s v="Rekha Chokkalingam"/>
    <x v="126"/>
    <s v="IVR BB/Negative; INC"/>
    <s v="IVR A4; INC"/>
    <d v="2027-08-05T00:00:00"/>
    <s v="VINODKUMAR UMASANKAR SINGH"/>
    <n v="9537936809"/>
    <x v="247"/>
    <m/>
    <s v="Jasveer Singh Gohlan"/>
    <d v="2026-07-31T00:00:00"/>
  </r>
  <r>
    <n v="-362"/>
    <x v="1"/>
    <x v="276"/>
    <x v="153"/>
    <s v="6/14/2022"/>
    <x v="1"/>
    <s v="Amey Joshi"/>
    <x v="126"/>
    <s v="IVR D; INC"/>
    <s v="IVR D; INC"/>
    <d v="2027-08-05T00:00:00"/>
    <s v="VINODKUMAR UMASANKAR SINGH"/>
    <n v="9537936809"/>
    <x v="248"/>
    <m/>
    <s v="Dheeraj Jaiswal"/>
    <d v="2026-07-31T00:00:00"/>
  </r>
  <r>
    <n v="-362"/>
    <x v="1"/>
    <x v="277"/>
    <x v="154"/>
    <m/>
    <x v="2"/>
    <s v="Sudarshan Shreenivas"/>
    <x v="126"/>
    <s v="IVR B+/Negative; INC"/>
    <m/>
    <d v="2027-08-05T00:00:00"/>
    <m/>
    <m/>
    <x v="249"/>
    <m/>
    <s v="K. Vishnu Narasimhan"/>
    <d v="2026-07-31T00:00:00"/>
  </r>
  <r>
    <n v="-362"/>
    <x v="1"/>
    <x v="278"/>
    <x v="94"/>
    <m/>
    <x v="31"/>
    <s v="Amey Joshi"/>
    <x v="126"/>
    <s v="IVR D; INC"/>
    <s v="IVR D; INC"/>
    <d v="2027-08-05T00:00:00"/>
    <s v="KAPIL GUPTA"/>
    <n v="9324943984"/>
    <x v="250"/>
    <m/>
    <s v="Sakshi Keswani"/>
    <d v="2026-07-31T00:00:00"/>
  </r>
  <r>
    <n v="-363"/>
    <x v="1"/>
    <x v="279"/>
    <x v="155"/>
    <m/>
    <x v="8"/>
    <s v="Amey Joshi"/>
    <x v="127"/>
    <s v="IVR BB+/Negative; INC"/>
    <s v="IVR A4+; INC"/>
    <d v="2027-08-06T00:00:00"/>
    <s v="Angela Sarna"/>
    <n v="9582704847"/>
    <x v="251"/>
    <m/>
    <m/>
    <m/>
  </r>
  <r>
    <n v="-364"/>
    <x v="1"/>
    <x v="280"/>
    <x v="30"/>
    <d v="2024-10-17T00:00:00"/>
    <x v="22"/>
    <s v="Amey Joshi"/>
    <x v="128"/>
    <s v="IVR D; INC"/>
    <m/>
    <d v="2027-08-07T00:00:00"/>
    <m/>
    <m/>
    <x v="252"/>
    <m/>
    <s v="Rituparna Roy"/>
    <d v="2026-08-0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FE7860-68C0-4FB1-9718-DFA1E9B0CAE2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B4:D52" firstHeaderRow="1" firstDataRow="1" firstDataCol="3" rowPageCount="2" colPageCount="1"/>
  <pivotFields count="20"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2">
        <item x="0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81">
        <item x="29"/>
        <item x="215"/>
        <item x="205"/>
        <item x="50"/>
        <item x="163"/>
        <item x="73"/>
        <item x="51"/>
        <item x="227"/>
        <item x="107"/>
        <item x="91"/>
        <item x="1"/>
        <item x="53"/>
        <item x="209"/>
        <item x="196"/>
        <item x="98"/>
        <item x="264"/>
        <item x="141"/>
        <item x="117"/>
        <item x="193"/>
        <item x="240"/>
        <item x="214"/>
        <item x="279"/>
        <item x="172"/>
        <item x="155"/>
        <item x="18"/>
        <item x="58"/>
        <item x="241"/>
        <item x="273"/>
        <item x="173"/>
        <item x="112"/>
        <item x="201"/>
        <item x="54"/>
        <item x="216"/>
        <item x="88"/>
        <item x="257"/>
        <item x="258"/>
        <item x="194"/>
        <item x="109"/>
        <item x="35"/>
        <item x="104"/>
        <item x="92"/>
        <item x="236"/>
        <item x="62"/>
        <item x="108"/>
        <item x="65"/>
        <item x="28"/>
        <item x="19"/>
        <item x="38"/>
        <item x="274"/>
        <item x="130"/>
        <item x="180"/>
        <item x="150"/>
        <item x="96"/>
        <item x="217"/>
        <item x="228"/>
        <item x="136"/>
        <item x="59"/>
        <item x="30"/>
        <item x="146"/>
        <item x="142"/>
        <item x="170"/>
        <item x="266"/>
        <item x="168"/>
        <item x="255"/>
        <item x="97"/>
        <item x="25"/>
        <item x="272"/>
        <item x="254"/>
        <item x="84"/>
        <item x="181"/>
        <item x="158"/>
        <item x="52"/>
        <item x="17"/>
        <item x="20"/>
        <item x="12"/>
        <item x="49"/>
        <item x="139"/>
        <item x="218"/>
        <item x="186"/>
        <item x="152"/>
        <item x="189"/>
        <item x="55"/>
        <item x="111"/>
        <item x="132"/>
        <item x="278"/>
        <item x="253"/>
        <item x="67"/>
        <item x="44"/>
        <item x="133"/>
        <item x="119"/>
        <item x="42"/>
        <item x="115"/>
        <item x="105"/>
        <item x="197"/>
        <item x="207"/>
        <item x="86"/>
        <item x="15"/>
        <item x="195"/>
        <item x="262"/>
        <item x="106"/>
        <item x="187"/>
        <item x="87"/>
        <item x="232"/>
        <item x="13"/>
        <item x="206"/>
        <item x="89"/>
        <item x="131"/>
        <item x="202"/>
        <item x="211"/>
        <item x="78"/>
        <item x="171"/>
        <item x="128"/>
        <item x="129"/>
        <item x="156"/>
        <item x="124"/>
        <item x="101"/>
        <item x="16"/>
        <item x="80"/>
        <item x="165"/>
        <item x="184"/>
        <item x="219"/>
        <item x="174"/>
        <item x="46"/>
        <item x="126"/>
        <item x="79"/>
        <item x="70"/>
        <item x="71"/>
        <item x="72"/>
        <item x="179"/>
        <item x="185"/>
        <item x="21"/>
        <item x="90"/>
        <item x="3"/>
        <item x="100"/>
        <item x="191"/>
        <item x="225"/>
        <item x="210"/>
        <item x="243"/>
        <item x="244"/>
        <item x="34"/>
        <item x="63"/>
        <item x="212"/>
        <item x="237"/>
        <item x="213"/>
        <item x="263"/>
        <item x="5"/>
        <item x="45"/>
        <item x="222"/>
        <item x="48"/>
        <item x="223"/>
        <item x="153"/>
        <item x="261"/>
        <item x="183"/>
        <item x="167"/>
        <item x="22"/>
        <item x="7"/>
        <item x="64"/>
        <item x="229"/>
        <item x="6"/>
        <item x="220"/>
        <item x="14"/>
        <item x="24"/>
        <item x="259"/>
        <item x="140"/>
        <item x="159"/>
        <item x="252"/>
        <item x="242"/>
        <item x="116"/>
        <item x="239"/>
        <item x="31"/>
        <item x="118"/>
        <item x="234"/>
        <item x="127"/>
        <item x="93"/>
        <item x="161"/>
        <item x="110"/>
        <item x="199"/>
        <item x="147"/>
        <item x="238"/>
        <item x="56"/>
        <item x="85"/>
        <item x="81"/>
        <item x="233"/>
        <item x="198"/>
        <item x="57"/>
        <item x="175"/>
        <item x="4"/>
        <item x="68"/>
        <item x="235"/>
        <item x="10"/>
        <item x="11"/>
        <item x="169"/>
        <item x="182"/>
        <item x="231"/>
        <item x="164"/>
        <item x="151"/>
        <item x="265"/>
        <item x="192"/>
        <item x="123"/>
        <item x="102"/>
        <item x="77"/>
        <item x="188"/>
        <item x="32"/>
        <item x="256"/>
        <item x="137"/>
        <item x="226"/>
        <item x="248"/>
        <item x="251"/>
        <item x="162"/>
        <item x="39"/>
        <item x="33"/>
        <item x="23"/>
        <item x="66"/>
        <item x="148"/>
        <item x="60"/>
        <item x="276"/>
        <item x="26"/>
        <item x="247"/>
        <item x="230"/>
        <item x="145"/>
        <item x="27"/>
        <item x="203"/>
        <item x="120"/>
        <item x="99"/>
        <item x="249"/>
        <item x="69"/>
        <item x="76"/>
        <item x="2"/>
        <item x="176"/>
        <item x="74"/>
        <item x="75"/>
        <item x="245"/>
        <item x="260"/>
        <item x="61"/>
        <item x="94"/>
        <item x="268"/>
        <item x="113"/>
        <item x="204"/>
        <item x="200"/>
        <item x="277"/>
        <item x="143"/>
        <item x="47"/>
        <item x="157"/>
        <item x="134"/>
        <item x="37"/>
        <item x="36"/>
        <item x="208"/>
        <item x="221"/>
        <item x="114"/>
        <item x="121"/>
        <item x="122"/>
        <item x="154"/>
        <item x="40"/>
        <item x="177"/>
        <item x="178"/>
        <item x="250"/>
        <item x="103"/>
        <item x="190"/>
        <item x="43"/>
        <item x="246"/>
        <item x="144"/>
        <item x="160"/>
        <item x="95"/>
        <item x="149"/>
        <item x="138"/>
        <item x="224"/>
        <item x="82"/>
        <item x="125"/>
        <item x="166"/>
        <item x="41"/>
        <item x="0"/>
        <item x="267"/>
        <item x="269"/>
        <item x="270"/>
        <item x="271"/>
        <item x="275"/>
        <item x="8"/>
        <item x="9"/>
        <item x="135"/>
        <item x="280"/>
        <item x="8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56">
        <item x="107"/>
        <item x="81"/>
        <item x="14"/>
        <item x="18"/>
        <item x="44"/>
        <item x="95"/>
        <item x="26"/>
        <item x="84"/>
        <item x="113"/>
        <item x="24"/>
        <item x="98"/>
        <item x="126"/>
        <item x="102"/>
        <item x="100"/>
        <item x="25"/>
        <item x="137"/>
        <item x="46"/>
        <item x="128"/>
        <item x="97"/>
        <item x="136"/>
        <item x="21"/>
        <item x="90"/>
        <item x="105"/>
        <item x="54"/>
        <item x="62"/>
        <item x="23"/>
        <item x="29"/>
        <item x="111"/>
        <item x="10"/>
        <item x="114"/>
        <item x="75"/>
        <item x="8"/>
        <item x="144"/>
        <item x="129"/>
        <item x="120"/>
        <item x="150"/>
        <item x="92"/>
        <item x="96"/>
        <item x="88"/>
        <item x="74"/>
        <item x="32"/>
        <item x="131"/>
        <item x="148"/>
        <item x="49"/>
        <item x="153"/>
        <item x="93"/>
        <item x="7"/>
        <item x="20"/>
        <item x="60"/>
        <item x="65"/>
        <item x="89"/>
        <item x="27"/>
        <item x="124"/>
        <item x="70"/>
        <item x="154"/>
        <item x="78"/>
        <item x="83"/>
        <item x="139"/>
        <item x="152"/>
        <item x="30"/>
        <item x="103"/>
        <item x="15"/>
        <item x="80"/>
        <item x="110"/>
        <item x="101"/>
        <item x="149"/>
        <item x="138"/>
        <item x="76"/>
        <item x="64"/>
        <item x="116"/>
        <item x="39"/>
        <item x="94"/>
        <item x="11"/>
        <item x="118"/>
        <item x="6"/>
        <item x="63"/>
        <item x="145"/>
        <item x="151"/>
        <item x="71"/>
        <item x="79"/>
        <item x="45"/>
        <item x="127"/>
        <item x="99"/>
        <item x="73"/>
        <item x="69"/>
        <item x="121"/>
        <item x="22"/>
        <item x="16"/>
        <item x="19"/>
        <item x="31"/>
        <item x="125"/>
        <item x="82"/>
        <item x="38"/>
        <item x="66"/>
        <item x="140"/>
        <item x="9"/>
        <item x="143"/>
        <item x="47"/>
        <item x="17"/>
        <item x="50"/>
        <item x="109"/>
        <item x="119"/>
        <item x="55"/>
        <item x="85"/>
        <item x="57"/>
        <item x="37"/>
        <item x="146"/>
        <item x="91"/>
        <item x="132"/>
        <item x="141"/>
        <item x="104"/>
        <item x="142"/>
        <item x="28"/>
        <item x="68"/>
        <item x="133"/>
        <item x="134"/>
        <item x="43"/>
        <item x="115"/>
        <item x="86"/>
        <item x="2"/>
        <item x="13"/>
        <item x="5"/>
        <item x="4"/>
        <item x="56"/>
        <item x="108"/>
        <item x="42"/>
        <item x="130"/>
        <item x="77"/>
        <item x="40"/>
        <item x="87"/>
        <item x="123"/>
        <item x="72"/>
        <item x="33"/>
        <item x="135"/>
        <item x="58"/>
        <item x="0"/>
        <item x="59"/>
        <item x="155"/>
        <item x="51"/>
        <item x="112"/>
        <item x="52"/>
        <item x="122"/>
        <item x="53"/>
        <item x="106"/>
        <item x="36"/>
        <item x="41"/>
        <item x="48"/>
        <item x="61"/>
        <item x="34"/>
        <item x="67"/>
        <item x="1"/>
        <item x="35"/>
        <item x="3"/>
        <item x="12"/>
        <item x="147"/>
        <item x="1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sortType="ascending" defaultSubtotal="0">
      <items count="34">
        <item x="25"/>
        <item x="29"/>
        <item x="30"/>
        <item x="21"/>
        <item x="26"/>
        <item x="24"/>
        <item x="31"/>
        <item x="0"/>
        <item x="6"/>
        <item x="10"/>
        <item x="14"/>
        <item x="22"/>
        <item x="17"/>
        <item x="15"/>
        <item x="2"/>
        <item x="32"/>
        <item x="12"/>
        <item x="3"/>
        <item x="28"/>
        <item x="4"/>
        <item x="7"/>
        <item x="33"/>
        <item x="16"/>
        <item x="8"/>
        <item x="18"/>
        <item x="1"/>
        <item x="27"/>
        <item x="13"/>
        <item x="23"/>
        <item x="11"/>
        <item x="9"/>
        <item x="20"/>
        <item x="5"/>
        <item x="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ascending" defaultSubtotal="0">
      <items count="1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53">
        <item x="182"/>
        <item x="157"/>
        <item x="190"/>
        <item x="203"/>
        <item x="167"/>
        <item x="239"/>
        <item x="116"/>
        <item x="113"/>
        <item x="86"/>
        <item x="138"/>
        <item x="98"/>
        <item x="79"/>
        <item x="73"/>
        <item x="16"/>
        <item x="224"/>
        <item x="217"/>
        <item x="250"/>
        <item x="193"/>
        <item x="90"/>
        <item x="102"/>
        <item x="183"/>
        <item x="115"/>
        <item x="7"/>
        <item x="6"/>
        <item x="24"/>
        <item x="212"/>
        <item x="44"/>
        <item x="177"/>
        <item x="166"/>
        <item x="191"/>
        <item x="68"/>
        <item x="135"/>
        <item x="180"/>
        <item x="161"/>
        <item x="159"/>
        <item x="137"/>
        <item x="147"/>
        <item x="201"/>
        <item x="1"/>
        <item x="84"/>
        <item x="72"/>
        <item x="48"/>
        <item x="50"/>
        <item x="47"/>
        <item x="163"/>
        <item x="251"/>
        <item x="75"/>
        <item x="160"/>
        <item x="252"/>
        <item x="127"/>
        <item x="108"/>
        <item x="170"/>
        <item x="143"/>
        <item x="179"/>
        <item x="52"/>
        <item x="57"/>
        <item x="32"/>
        <item x="133"/>
        <item x="208"/>
        <item x="94"/>
        <item x="151"/>
        <item x="70"/>
        <item x="103"/>
        <item x="230"/>
        <item x="229"/>
        <item x="171"/>
        <item x="205"/>
        <item x="114"/>
        <item x="78"/>
        <item x="232"/>
        <item x="45"/>
        <item x="214"/>
        <item x="153"/>
        <item x="156"/>
        <item x="119"/>
        <item x="231"/>
        <item x="173"/>
        <item x="61"/>
        <item x="152"/>
        <item x="240"/>
        <item x="204"/>
        <item x="184"/>
        <item x="164"/>
        <item x="144"/>
        <item x="13"/>
        <item x="192"/>
        <item x="40"/>
        <item x="241"/>
        <item x="202"/>
        <item x="246"/>
        <item x="124"/>
        <item x="69"/>
        <item x="189"/>
        <item x="209"/>
        <item x="132"/>
        <item x="221"/>
        <item x="60"/>
        <item x="37"/>
        <item x="99"/>
        <item x="31"/>
        <item x="227"/>
        <item x="71"/>
        <item x="39"/>
        <item x="142"/>
        <item x="20"/>
        <item x="181"/>
        <item x="200"/>
        <item x="118"/>
        <item x="53"/>
        <item x="158"/>
        <item x="74"/>
        <item x="226"/>
        <item x="93"/>
        <item x="112"/>
        <item x="117"/>
        <item x="154"/>
        <item x="206"/>
        <item x="174"/>
        <item x="21"/>
        <item x="233"/>
        <item x="33"/>
        <item x="242"/>
        <item x="96"/>
        <item x="121"/>
        <item x="110"/>
        <item x="42"/>
        <item x="106"/>
        <item x="97"/>
        <item x="187"/>
        <item x="80"/>
        <item x="130"/>
        <item x="101"/>
        <item x="15"/>
        <item x="22"/>
        <item x="150"/>
        <item x="77"/>
        <item x="155"/>
        <item x="63"/>
        <item x="216"/>
        <item x="81"/>
        <item x="165"/>
        <item x="55"/>
        <item x="178"/>
        <item x="134"/>
        <item x="92"/>
        <item x="228"/>
        <item x="194"/>
        <item x="10"/>
        <item x="83"/>
        <item x="244"/>
        <item x="54"/>
        <item x="172"/>
        <item x="185"/>
        <item x="43"/>
        <item x="245"/>
        <item x="34"/>
        <item x="64"/>
        <item x="65"/>
        <item x="199"/>
        <item x="46"/>
        <item x="123"/>
        <item x="62"/>
        <item x="237"/>
        <item x="139"/>
        <item x="89"/>
        <item x="18"/>
        <item x="188"/>
        <item x="120"/>
        <item x="236"/>
        <item x="213"/>
        <item x="91"/>
        <item x="197"/>
        <item x="162"/>
        <item x="36"/>
        <item x="125"/>
        <item x="59"/>
        <item x="235"/>
        <item x="29"/>
        <item x="11"/>
        <item x="14"/>
        <item x="8"/>
        <item x="109"/>
        <item x="207"/>
        <item x="107"/>
        <item x="176"/>
        <item x="56"/>
        <item x="3"/>
        <item x="195"/>
        <item x="5"/>
        <item x="4"/>
        <item x="175"/>
        <item x="17"/>
        <item x="9"/>
        <item x="238"/>
        <item x="145"/>
        <item x="76"/>
        <item x="126"/>
        <item x="35"/>
        <item x="220"/>
        <item x="225"/>
        <item x="49"/>
        <item x="100"/>
        <item x="28"/>
        <item x="87"/>
        <item x="169"/>
        <item x="67"/>
        <item x="128"/>
        <item x="58"/>
        <item x="148"/>
        <item x="66"/>
        <item x="23"/>
        <item x="248"/>
        <item x="131"/>
        <item x="26"/>
        <item x="27"/>
        <item x="111"/>
        <item x="0"/>
        <item x="88"/>
        <item x="25"/>
        <item x="2"/>
        <item x="38"/>
        <item x="186"/>
        <item x="219"/>
        <item x="82"/>
        <item x="223"/>
        <item x="168"/>
        <item x="141"/>
        <item x="215"/>
        <item x="12"/>
        <item x="218"/>
        <item x="19"/>
        <item x="243"/>
        <item x="95"/>
        <item x="136"/>
        <item x="104"/>
        <item x="234"/>
        <item x="249"/>
        <item x="129"/>
        <item x="122"/>
        <item x="85"/>
        <item x="196"/>
        <item x="105"/>
        <item x="140"/>
        <item x="51"/>
        <item x="210"/>
        <item x="149"/>
        <item x="30"/>
        <item x="146"/>
        <item x="222"/>
        <item x="247"/>
        <item x="198"/>
        <item x="211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multipleItemSelectionAllowed="1" showAll="0" defaultSubtotal="0">
      <items count="14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sd="0" x="9"/>
        <item sd="0" x="10"/>
        <item h="1" sd="0" x="11"/>
        <item h="1" sd="0" x="12"/>
        <item h="1"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6">
        <item sd="0" x="0"/>
        <item sd="0" x="1"/>
        <item sd="0" x="2"/>
        <item sd="0" x="3"/>
        <item sd="0" x="4"/>
        <item sd="0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4">
        <item sd="0" x="0"/>
        <item sd="0" x="1"/>
        <item sd="0" x="2"/>
        <item sd="0"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2"/>
    <field x="13"/>
    <field x="7"/>
  </rowFields>
  <rowItems count="48">
    <i>
      <x/>
      <x v="177"/>
      <x v="15"/>
    </i>
    <i>
      <x v="3"/>
      <x v="42"/>
      <x v="26"/>
    </i>
    <i>
      <x v="5"/>
      <x v="61"/>
      <x v="35"/>
    </i>
    <i>
      <x v="6"/>
      <x v="243"/>
      <x v="26"/>
    </i>
    <i>
      <x v="11"/>
      <x v="108"/>
      <x v="28"/>
    </i>
    <i>
      <x v="25"/>
      <x v="207"/>
      <x v="29"/>
    </i>
    <i>
      <x v="31"/>
      <x v="150"/>
      <x v="29"/>
    </i>
    <i>
      <x v="38"/>
      <x v="197"/>
      <x v="18"/>
    </i>
    <i>
      <x v="42"/>
      <x v="77"/>
      <x v="30"/>
    </i>
    <i>
      <x v="44"/>
      <x v="156"/>
      <x v="32"/>
    </i>
    <i>
      <x v="47"/>
      <x v="220"/>
      <x v="19"/>
    </i>
    <i>
      <x v="56"/>
      <x v="207"/>
      <x v="29"/>
    </i>
    <i>
      <x v="57"/>
      <x v="246"/>
      <x v="15"/>
    </i>
    <i>
      <x v="71"/>
      <x v="54"/>
      <x v="27"/>
    </i>
    <i>
      <x v="75"/>
      <x v="200"/>
      <x v="25"/>
    </i>
    <i>
      <x v="81"/>
      <x v="141"/>
      <x v="29"/>
    </i>
    <i>
      <x v="86"/>
      <x v="209"/>
      <x v="33"/>
    </i>
    <i>
      <x v="87"/>
      <x v="26"/>
      <x v="22"/>
    </i>
    <i>
      <x v="90"/>
      <x v="125"/>
      <x v="20"/>
    </i>
    <i>
      <x v="122"/>
      <x v="159"/>
      <x v="24"/>
    </i>
    <i>
      <x v="125"/>
      <x v="91"/>
      <x v="34"/>
    </i>
    <i>
      <x v="126"/>
      <x v="91"/>
      <x v="34"/>
    </i>
    <i>
      <x v="127"/>
      <x v="91"/>
      <x v="34"/>
    </i>
    <i>
      <x v="139"/>
      <x v="155"/>
      <x v="17"/>
    </i>
    <i>
      <x v="140"/>
      <x v="161"/>
      <x v="30"/>
    </i>
    <i>
      <x v="146"/>
      <x v="70"/>
      <x v="23"/>
    </i>
    <i>
      <x v="148"/>
      <x v="41"/>
      <x v="25"/>
    </i>
    <i>
      <x v="156"/>
      <x v="137"/>
      <x v="31"/>
    </i>
    <i>
      <x v="169"/>
      <x v="99"/>
      <x v="16"/>
    </i>
    <i>
      <x v="179"/>
      <x v="185"/>
      <x v="29"/>
    </i>
    <i>
      <x v="184"/>
      <x v="55"/>
      <x v="29"/>
    </i>
    <i>
      <x v="187"/>
      <x v="205"/>
      <x v="34"/>
    </i>
    <i>
      <x v="202"/>
      <x v="56"/>
      <x v="17"/>
    </i>
    <i>
      <x v="209"/>
      <x v="102"/>
      <x v="20"/>
    </i>
    <i>
      <x v="210"/>
      <x v="120"/>
      <x v="17"/>
    </i>
    <i>
      <x v="212"/>
      <x v="157"/>
      <x v="32"/>
    </i>
    <i>
      <x v="214"/>
      <x v="175"/>
      <x v="29"/>
    </i>
    <i>
      <x v="225"/>
      <x v="30"/>
      <x v="34"/>
    </i>
    <i>
      <x v="226"/>
      <x v="40"/>
      <x v="36"/>
    </i>
    <i>
      <x v="229"/>
      <x v="165"/>
      <x v="35"/>
    </i>
    <i>
      <x v="230"/>
      <x v="101"/>
      <x v="36"/>
    </i>
    <i>
      <x v="233"/>
      <x v="96"/>
      <x v="30"/>
    </i>
    <i>
      <x v="241"/>
      <x v="43"/>
      <x v="25"/>
    </i>
    <i>
      <x v="244"/>
      <x v="97"/>
      <x v="19"/>
    </i>
    <i>
      <x v="245"/>
      <x v="173"/>
      <x v="19"/>
    </i>
    <i>
      <x v="252"/>
      <x v="86"/>
      <x v="20"/>
    </i>
    <i>
      <x v="258"/>
      <x v="153"/>
      <x v="21"/>
    </i>
    <i>
      <x v="269"/>
      <x v="252"/>
      <x v="20"/>
    </i>
  </rowItems>
  <colItems count="1">
    <i/>
  </colItems>
  <pageFields count="2">
    <pageField fld="5" hier="-1"/>
    <pageField fld="17" hier="-1"/>
  </pageFields>
  <formats count="2">
    <format dxfId="7">
      <pivotArea dataOnly="0" labelOnly="1" grandRow="1" outline="0" fieldPosition="0"/>
    </format>
    <format dxfId="6">
      <pivotArea field="3" type="button" dataOnly="0" labelOnly="1" outline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olympusmetal@hotmail.com" TargetMode="External"/><Relationship Id="rId21" Type="http://schemas.openxmlformats.org/officeDocument/2006/relationships/hyperlink" Target="mailto:finance@ariahotels.in,nupur.garg@ariahotels.in,arun.shukla@ariahotels.in" TargetMode="External"/><Relationship Id="rId42" Type="http://schemas.openxmlformats.org/officeDocument/2006/relationships/hyperlink" Target="mailto:accounting@thesilvergroup.co.in,forum@thesilvergroup.co.in" TargetMode="External"/><Relationship Id="rId63" Type="http://schemas.openxmlformats.org/officeDocument/2006/relationships/hyperlink" Target="mailto:shriniwasspintex@gmail.com" TargetMode="External"/><Relationship Id="rId84" Type="http://schemas.openxmlformats.org/officeDocument/2006/relationships/hyperlink" Target="mailto:accounts@iitanspace.com" TargetMode="External"/><Relationship Id="rId138" Type="http://schemas.openxmlformats.org/officeDocument/2006/relationships/hyperlink" Target="mailto:jaihindfeeds@gmail.com" TargetMode="External"/><Relationship Id="rId159" Type="http://schemas.openxmlformats.org/officeDocument/2006/relationships/hyperlink" Target="mailto:rajg@smgroup.co.in" TargetMode="External"/><Relationship Id="rId170" Type="http://schemas.openxmlformats.org/officeDocument/2006/relationships/hyperlink" Target="mailto:neelameena@rediffmail.com" TargetMode="External"/><Relationship Id="rId191" Type="http://schemas.openxmlformats.org/officeDocument/2006/relationships/hyperlink" Target="mailto:timesinfrabuild@gmail.com" TargetMode="External"/><Relationship Id="rId205" Type="http://schemas.openxmlformats.org/officeDocument/2006/relationships/hyperlink" Target="mailto:cs.uditinfraworld@gmail.com" TargetMode="External"/><Relationship Id="rId107" Type="http://schemas.openxmlformats.org/officeDocument/2006/relationships/hyperlink" Target="mailto:venmalarwindenergy@gmail.com" TargetMode="External"/><Relationship Id="rId11" Type="http://schemas.openxmlformats.org/officeDocument/2006/relationships/hyperlink" Target="mailto:accounts@polarisliquor.com,%20santoshwagleicedd@gmail.com" TargetMode="External"/><Relationship Id="rId32" Type="http://schemas.openxmlformats.org/officeDocument/2006/relationships/hyperlink" Target="mailto:shriniwasspintex@gmail.com" TargetMode="External"/><Relationship Id="rId53" Type="http://schemas.openxmlformats.org/officeDocument/2006/relationships/hyperlink" Target="mailto:zandrosgranito@gmail.com" TargetMode="External"/><Relationship Id="rId74" Type="http://schemas.openxmlformats.org/officeDocument/2006/relationships/hyperlink" Target="mailto:acsridatia@gmail.com" TargetMode="External"/><Relationship Id="rId128" Type="http://schemas.openxmlformats.org/officeDocument/2006/relationships/hyperlink" Target="mailto:ashish.aggarwal@worldswindow.com%20" TargetMode="External"/><Relationship Id="rId149" Type="http://schemas.openxmlformats.org/officeDocument/2006/relationships/hyperlink" Target="mailto:aparna@premierenergies.com" TargetMode="External"/><Relationship Id="rId5" Type="http://schemas.openxmlformats.org/officeDocument/2006/relationships/hyperlink" Target="mailto:cs.uditinfraworld@gmail.com" TargetMode="External"/><Relationship Id="rId95" Type="http://schemas.openxmlformats.org/officeDocument/2006/relationships/hyperlink" Target="mailto:bestbluemetals@gmail.com" TargetMode="External"/><Relationship Id="rId160" Type="http://schemas.openxmlformats.org/officeDocument/2006/relationships/hyperlink" Target="mailto:pooja@nikhiladhesives.com;%20chandrahas.salian@nikhiladhesives.com%20and%20raju.sanghavi@nikhiladhesives.com" TargetMode="External"/><Relationship Id="rId181" Type="http://schemas.openxmlformats.org/officeDocument/2006/relationships/hyperlink" Target="mailto:gundmishanker@gmail.com" TargetMode="External"/><Relationship Id="rId22" Type="http://schemas.openxmlformats.org/officeDocument/2006/relationships/hyperlink" Target="mailto:accounts.ho@mjpl.biz" TargetMode="External"/><Relationship Id="rId43" Type="http://schemas.openxmlformats.org/officeDocument/2006/relationships/hyperlink" Target="mailto:sparthasarathy@gopportunity.net" TargetMode="External"/><Relationship Id="rId64" Type="http://schemas.openxmlformats.org/officeDocument/2006/relationships/hyperlink" Target="mailto:raakesh@princeware.net,%20jagdishnathani@princeware.net" TargetMode="External"/><Relationship Id="rId118" Type="http://schemas.openxmlformats.org/officeDocument/2006/relationships/hyperlink" Target="mailto:radiancealloys18@gmail.com" TargetMode="External"/><Relationship Id="rId139" Type="http://schemas.openxmlformats.org/officeDocument/2006/relationships/hyperlink" Target="mailto:Charmey.shah@nisaeye.com" TargetMode="External"/><Relationship Id="rId85" Type="http://schemas.openxmlformats.org/officeDocument/2006/relationships/hyperlink" Target="mailto:mangesha@womindia.com" TargetMode="External"/><Relationship Id="rId150" Type="http://schemas.openxmlformats.org/officeDocument/2006/relationships/hyperlink" Target="mailto:gaurav.vora@laxmidiajewel.com" TargetMode="External"/><Relationship Id="rId171" Type="http://schemas.openxmlformats.org/officeDocument/2006/relationships/hyperlink" Target="mailto:simita@vfscapital.in" TargetMode="External"/><Relationship Id="rId192" Type="http://schemas.openxmlformats.org/officeDocument/2006/relationships/hyperlink" Target="mailto:ankit.shah@shethcreators.com" TargetMode="External"/><Relationship Id="rId206" Type="http://schemas.openxmlformats.org/officeDocument/2006/relationships/hyperlink" Target="mailto:cs.uditinfraworld@gmail.com" TargetMode="External"/><Relationship Id="rId12" Type="http://schemas.openxmlformats.org/officeDocument/2006/relationships/hyperlink" Target="mailto:raghava.constructions@gmail.com" TargetMode="External"/><Relationship Id="rId33" Type="http://schemas.openxmlformats.org/officeDocument/2006/relationships/hyperlink" Target="mailto:headoffice@thekutegroup.com" TargetMode="External"/><Relationship Id="rId108" Type="http://schemas.openxmlformats.org/officeDocument/2006/relationships/hyperlink" Target="mailto:snehal@mokshabobbins.com" TargetMode="External"/><Relationship Id="rId129" Type="http://schemas.openxmlformats.org/officeDocument/2006/relationships/hyperlink" Target="mailto:samanthapudi_9000@yahoo.co.in%20" TargetMode="External"/><Relationship Id="rId54" Type="http://schemas.openxmlformats.org/officeDocument/2006/relationships/hyperlink" Target="mailto:sneeraj07@hotmail.com" TargetMode="External"/><Relationship Id="rId75" Type="http://schemas.openxmlformats.org/officeDocument/2006/relationships/hyperlink" Target="mailto:gkumarbmw@gmail.com" TargetMode="External"/><Relationship Id="rId96" Type="http://schemas.openxmlformats.org/officeDocument/2006/relationships/hyperlink" Target="mailto:compliance@ssdpl.in;nagamuni.reddy@ssdpl.in" TargetMode="External"/><Relationship Id="rId140" Type="http://schemas.openxmlformats.org/officeDocument/2006/relationships/hyperlink" Target="mailto:abhay@piotex.in" TargetMode="External"/><Relationship Id="rId161" Type="http://schemas.openxmlformats.org/officeDocument/2006/relationships/hyperlink" Target="mailto:sghosh@ewgroup.in" TargetMode="External"/><Relationship Id="rId182" Type="http://schemas.openxmlformats.org/officeDocument/2006/relationships/hyperlink" Target="mailto:punitha@pgpgroups.com%20/%20pgpfinance@pgpgroups.com" TargetMode="External"/><Relationship Id="rId6" Type="http://schemas.openxmlformats.org/officeDocument/2006/relationships/hyperlink" Target="mailto:bdm@apipl.co.in" TargetMode="External"/><Relationship Id="rId23" Type="http://schemas.openxmlformats.org/officeDocument/2006/relationships/hyperlink" Target="mailto:finance@shyamfashion.com,saurav@shyamfashion.com" TargetMode="External"/><Relationship Id="rId119" Type="http://schemas.openxmlformats.org/officeDocument/2006/relationships/hyperlink" Target="mailto:accounts@surajinformatics.com" TargetMode="External"/><Relationship Id="rId44" Type="http://schemas.openxmlformats.org/officeDocument/2006/relationships/hyperlink" Target="mailto:dk.jindal24@ymail.com" TargetMode="External"/><Relationship Id="rId65" Type="http://schemas.openxmlformats.org/officeDocument/2006/relationships/hyperlink" Target="mailto:devrishi.v@unitern.com,%20ritesh@unitern.com,%20agarwalla.mayank@gmail.com,%20profwallet@gmail.com" TargetMode="External"/><Relationship Id="rId86" Type="http://schemas.openxmlformats.org/officeDocument/2006/relationships/hyperlink" Target="mailto:cs@prateekapparels.com" TargetMode="External"/><Relationship Id="rId130" Type="http://schemas.openxmlformats.org/officeDocument/2006/relationships/hyperlink" Target="mailto:accvfmpl@gmail.com%20" TargetMode="External"/><Relationship Id="rId151" Type="http://schemas.openxmlformats.org/officeDocument/2006/relationships/hyperlink" Target="mailto:satyam@etomotors.com" TargetMode="External"/><Relationship Id="rId172" Type="http://schemas.openxmlformats.org/officeDocument/2006/relationships/hyperlink" Target="mailto:swadhafinlease@gmail.com" TargetMode="External"/><Relationship Id="rId193" Type="http://schemas.openxmlformats.org/officeDocument/2006/relationships/hyperlink" Target="mailto:dsrikanth@pvrgroup.com" TargetMode="External"/><Relationship Id="rId207" Type="http://schemas.openxmlformats.org/officeDocument/2006/relationships/hyperlink" Target="mailto:aparna@premierenergies.com" TargetMode="External"/><Relationship Id="rId13" Type="http://schemas.openxmlformats.org/officeDocument/2006/relationships/hyperlink" Target="mailto:shree_ramcotton@yahoo.com" TargetMode="External"/><Relationship Id="rId109" Type="http://schemas.openxmlformats.org/officeDocument/2006/relationships/hyperlink" Target="mailto:newleaftea@gmail.com" TargetMode="External"/><Relationship Id="rId34" Type="http://schemas.openxmlformats.org/officeDocument/2006/relationships/hyperlink" Target="mailto:headoffice@thekutegroup.com" TargetMode="External"/><Relationship Id="rId55" Type="http://schemas.openxmlformats.org/officeDocument/2006/relationships/hyperlink" Target="mailto:anojagarwala@rediffmail.com" TargetMode="External"/><Relationship Id="rId76" Type="http://schemas.openxmlformats.org/officeDocument/2006/relationships/hyperlink" Target="mailto:Mahesh.petluru@bfgindia.com" TargetMode="External"/><Relationship Id="rId97" Type="http://schemas.openxmlformats.org/officeDocument/2006/relationships/hyperlink" Target="mailto:raju.vaidyan@gmail.com" TargetMode="External"/><Relationship Id="rId120" Type="http://schemas.openxmlformats.org/officeDocument/2006/relationships/hyperlink" Target="mailto:accounts@kkbp.in" TargetMode="External"/><Relationship Id="rId141" Type="http://schemas.openxmlformats.org/officeDocument/2006/relationships/hyperlink" Target="mailto:ac1@sarnachemicals.com" TargetMode="External"/><Relationship Id="rId7" Type="http://schemas.openxmlformats.org/officeDocument/2006/relationships/hyperlink" Target="mailto:skkumarco@gmail.com" TargetMode="External"/><Relationship Id="rId162" Type="http://schemas.openxmlformats.org/officeDocument/2006/relationships/hyperlink" Target="mailto:pf@pkmg.co.in" TargetMode="External"/><Relationship Id="rId183" Type="http://schemas.openxmlformats.org/officeDocument/2006/relationships/hyperlink" Target="mailto:sujatha@sattvaengg.in" TargetMode="External"/><Relationship Id="rId24" Type="http://schemas.openxmlformats.org/officeDocument/2006/relationships/hyperlink" Target="mailto:manish@seacoastsms.com,finance@seacoastsms.com" TargetMode="External"/><Relationship Id="rId45" Type="http://schemas.openxmlformats.org/officeDocument/2006/relationships/hyperlink" Target="mailto:padmavatichainspl@gmail.com,finance@pcandj.com,padmavatichainspl@gmail.com" TargetMode="External"/><Relationship Id="rId66" Type="http://schemas.openxmlformats.org/officeDocument/2006/relationships/hyperlink" Target="mailto:dhanalakshmispintex@gmail.com" TargetMode="External"/><Relationship Id="rId87" Type="http://schemas.openxmlformats.org/officeDocument/2006/relationships/hyperlink" Target="mailto:mtfextrusions@gmail.com" TargetMode="External"/><Relationship Id="rId110" Type="http://schemas.openxmlformats.org/officeDocument/2006/relationships/hyperlink" Target="mailto:santhagarik@gmail.com" TargetMode="External"/><Relationship Id="rId131" Type="http://schemas.openxmlformats.org/officeDocument/2006/relationships/hyperlink" Target="mailto:acc.reinfra@gmail.com%20" TargetMode="External"/><Relationship Id="rId152" Type="http://schemas.openxmlformats.org/officeDocument/2006/relationships/hyperlink" Target="mailto:archit@ruparel.in" TargetMode="External"/><Relationship Id="rId173" Type="http://schemas.openxmlformats.org/officeDocument/2006/relationships/hyperlink" Target="mailto:rajesh@mitsumidistribution.com" TargetMode="External"/><Relationship Id="rId194" Type="http://schemas.openxmlformats.org/officeDocument/2006/relationships/hyperlink" Target="mailto:ganapathy@shareindia.com" TargetMode="External"/><Relationship Id="rId208" Type="http://schemas.openxmlformats.org/officeDocument/2006/relationships/hyperlink" Target="mailto:mundhesuyesh955@gmail.com" TargetMode="External"/><Relationship Id="rId19" Type="http://schemas.openxmlformats.org/officeDocument/2006/relationships/hyperlink" Target="mailto:kgoibhainsa@gmail.com" TargetMode="External"/><Relationship Id="rId14" Type="http://schemas.openxmlformats.org/officeDocument/2006/relationships/hyperlink" Target="mailto:sivasaiexports@yahoo.com" TargetMode="External"/><Relationship Id="rId30" Type="http://schemas.openxmlformats.org/officeDocument/2006/relationships/hyperlink" Target="mailto:archit.bartaria@asfinfrastructure.com" TargetMode="External"/><Relationship Id="rId35" Type="http://schemas.openxmlformats.org/officeDocument/2006/relationships/hyperlink" Target="mailto:irpinfratech@yahoo.in" TargetMode="External"/><Relationship Id="rId56" Type="http://schemas.openxmlformats.org/officeDocument/2006/relationships/hyperlink" Target="mailto:vdalal@ennenngroup.com" TargetMode="External"/><Relationship Id="rId77" Type="http://schemas.openxmlformats.org/officeDocument/2006/relationships/hyperlink" Target="mailto:rupali.wanarase@cfmarc.in" TargetMode="External"/><Relationship Id="rId100" Type="http://schemas.openxmlformats.org/officeDocument/2006/relationships/hyperlink" Target="mailto:shreemahesh.spin@yahoo.in" TargetMode="External"/><Relationship Id="rId105" Type="http://schemas.openxmlformats.org/officeDocument/2006/relationships/hyperlink" Target="mailto:mramakrishna79@gmail.com" TargetMode="External"/><Relationship Id="rId126" Type="http://schemas.openxmlformats.org/officeDocument/2006/relationships/hyperlink" Target="mailto:ashish.aggarwal@worldswindow.com%20" TargetMode="External"/><Relationship Id="rId147" Type="http://schemas.openxmlformats.org/officeDocument/2006/relationships/hyperlink" Target="mailto:umesh@adhikarindia.org" TargetMode="External"/><Relationship Id="rId168" Type="http://schemas.openxmlformats.org/officeDocument/2006/relationships/hyperlink" Target="mailto:pvandana@shonan.co.in" TargetMode="External"/><Relationship Id="rId8" Type="http://schemas.openxmlformats.org/officeDocument/2006/relationships/hyperlink" Target="mailto:ronitp@radiusdevelopers.com',%20'mehulk@radiusdevelopers.com" TargetMode="External"/><Relationship Id="rId51" Type="http://schemas.openxmlformats.org/officeDocument/2006/relationships/hyperlink" Target="mailto:miracleenterprise07@gmail.com" TargetMode="External"/><Relationship Id="rId72" Type="http://schemas.openxmlformats.org/officeDocument/2006/relationships/hyperlink" Target="mailto:dinesh.metcon@gmail.com" TargetMode="External"/><Relationship Id="rId93" Type="http://schemas.openxmlformats.org/officeDocument/2006/relationships/hyperlink" Target="mailto:hemasundar.t@kmcgroup.co.in" TargetMode="External"/><Relationship Id="rId98" Type="http://schemas.openxmlformats.org/officeDocument/2006/relationships/hyperlink" Target="mailto:compliance@ssdpl.in;nagamuni.reddy@ssdpl.in" TargetMode="External"/><Relationship Id="rId121" Type="http://schemas.openxmlformats.org/officeDocument/2006/relationships/hyperlink" Target="mailto:siddhant.khatri@jmminfra.com%20;%20cadeepika.chamola@jmminfra.com" TargetMode="External"/><Relationship Id="rId142" Type="http://schemas.openxmlformats.org/officeDocument/2006/relationships/hyperlink" Target="mailto:accounts@prakruti.com" TargetMode="External"/><Relationship Id="rId163" Type="http://schemas.openxmlformats.org/officeDocument/2006/relationships/hyperlink" Target="mailto:grvmht10@gmail.com,%20ayush@ayushandassociates.com" TargetMode="External"/><Relationship Id="rId184" Type="http://schemas.openxmlformats.org/officeDocument/2006/relationships/hyperlink" Target="mailto:vinay@sianinfra.com" TargetMode="External"/><Relationship Id="rId189" Type="http://schemas.openxmlformats.org/officeDocument/2006/relationships/hyperlink" Target="mailto:rajg@smgroup.co.in" TargetMode="External"/><Relationship Id="rId3" Type="http://schemas.openxmlformats.org/officeDocument/2006/relationships/hyperlink" Target="mailto:gaurav.vora@laxmidiajewel.com" TargetMode="External"/><Relationship Id="rId214" Type="http://schemas.openxmlformats.org/officeDocument/2006/relationships/printerSettings" Target="../printerSettings/printerSettings1.bin"/><Relationship Id="rId25" Type="http://schemas.openxmlformats.org/officeDocument/2006/relationships/hyperlink" Target="mailto:kavin@murugavilas.com" TargetMode="External"/><Relationship Id="rId46" Type="http://schemas.openxmlformats.org/officeDocument/2006/relationships/hyperlink" Target="mailto:pawan@seagull-global.com" TargetMode="External"/><Relationship Id="rId67" Type="http://schemas.openxmlformats.org/officeDocument/2006/relationships/hyperlink" Target="mailto:director@thegoldrushgroup.com,%20%22Siddharth%22%20%3cgmadmin_fin@thegoldrushgroup.com%3e,%20accounts_ho@thegoldrushgroup.com,%20%22utaneja1%22%20%3cutaneja1@gmail.com" TargetMode="External"/><Relationship Id="rId116" Type="http://schemas.openxmlformats.org/officeDocument/2006/relationships/hyperlink" Target="mailto:worldwidemetals2015@gmail.com" TargetMode="External"/><Relationship Id="rId137" Type="http://schemas.openxmlformats.org/officeDocument/2006/relationships/hyperlink" Target="mailto:gmf@sentiniflopipes.com" TargetMode="External"/><Relationship Id="rId158" Type="http://schemas.openxmlformats.org/officeDocument/2006/relationships/hyperlink" Target="mailto:rajg@smgroup.co.in';%20'smniryat@smgroup.co.in" TargetMode="External"/><Relationship Id="rId20" Type="http://schemas.openxmlformats.org/officeDocument/2006/relationships/hyperlink" Target="mailto:accounts@pristinecommercials.com" TargetMode="External"/><Relationship Id="rId41" Type="http://schemas.openxmlformats.org/officeDocument/2006/relationships/hyperlink" Target="mailto:finance@shalimar.org,%20deepak.gaur@shalimar.org" TargetMode="External"/><Relationship Id="rId62" Type="http://schemas.openxmlformats.org/officeDocument/2006/relationships/hyperlink" Target="mailto:bhartifood2016@gmail.com%20%20%20%20%20%20%20%20sachani.peeyush@gmail.com" TargetMode="External"/><Relationship Id="rId83" Type="http://schemas.openxmlformats.org/officeDocument/2006/relationships/hyperlink" Target="mailto:%09skkunimbhora@rediffmail.com" TargetMode="External"/><Relationship Id="rId88" Type="http://schemas.openxmlformats.org/officeDocument/2006/relationships/hyperlink" Target="mailto:cspl2005@yahoo.com" TargetMode="External"/><Relationship Id="rId111" Type="http://schemas.openxmlformats.org/officeDocument/2006/relationships/hyperlink" Target="mailto:aidplindore@gmail.com" TargetMode="External"/><Relationship Id="rId132" Type="http://schemas.openxmlformats.org/officeDocument/2006/relationships/hyperlink" Target="mailto:sunnwindinfra@gmail.com%20" TargetMode="External"/><Relationship Id="rId153" Type="http://schemas.openxmlformats.org/officeDocument/2006/relationships/hyperlink" Target="mailto:bbc@adityagroup.co" TargetMode="External"/><Relationship Id="rId174" Type="http://schemas.openxmlformats.org/officeDocument/2006/relationships/hyperlink" Target="mailto:archit@ruparel.in" TargetMode="External"/><Relationship Id="rId179" Type="http://schemas.openxmlformats.org/officeDocument/2006/relationships/hyperlink" Target="mailto:gsr@klsrinfratech.com" TargetMode="External"/><Relationship Id="rId195" Type="http://schemas.openxmlformats.org/officeDocument/2006/relationships/hyperlink" Target="mailto:sghosh@ewgroup.in" TargetMode="External"/><Relationship Id="rId209" Type="http://schemas.openxmlformats.org/officeDocument/2006/relationships/hyperlink" Target="mailto:angela.sarna@revfin.in" TargetMode="External"/><Relationship Id="rId190" Type="http://schemas.openxmlformats.org/officeDocument/2006/relationships/hyperlink" Target="mailto:ravi@heerabgroup.com" TargetMode="External"/><Relationship Id="rId204" Type="http://schemas.openxmlformats.org/officeDocument/2006/relationships/hyperlink" Target="mailto:cs.uditinfraworld@gmail.com" TargetMode="External"/><Relationship Id="rId15" Type="http://schemas.openxmlformats.org/officeDocument/2006/relationships/hyperlink" Target="mailto:idff.rm@gmail.com" TargetMode="External"/><Relationship Id="rId36" Type="http://schemas.openxmlformats.org/officeDocument/2006/relationships/hyperlink" Target="mailto:rupesh@harmanfinochem.com" TargetMode="External"/><Relationship Id="rId57" Type="http://schemas.openxmlformats.org/officeDocument/2006/relationships/hyperlink" Target="mailto:shinde.sachin9@gmail.com,%20isml.sugar@gmail.com" TargetMode="External"/><Relationship Id="rId106" Type="http://schemas.openxmlformats.org/officeDocument/2006/relationships/hyperlink" Target="mailto:kajol@armee.in" TargetMode="External"/><Relationship Id="rId127" Type="http://schemas.openxmlformats.org/officeDocument/2006/relationships/hyperlink" Target="mailto:ashish.aggarwal@worldswindow.com%20" TargetMode="External"/><Relationship Id="rId10" Type="http://schemas.openxmlformats.org/officeDocument/2006/relationships/hyperlink" Target="mailto:r.tiwari@sidpl.in" TargetMode="External"/><Relationship Id="rId31" Type="http://schemas.openxmlformats.org/officeDocument/2006/relationships/hyperlink" Target="mailto:suriya2003@gmail.com" TargetMode="External"/><Relationship Id="rId52" Type="http://schemas.openxmlformats.org/officeDocument/2006/relationships/hyperlink" Target="mailto:accts@silpa.in" TargetMode="External"/><Relationship Id="rId73" Type="http://schemas.openxmlformats.org/officeDocument/2006/relationships/hyperlink" Target="mailto:amol.prabhu@mmepl.in" TargetMode="External"/><Relationship Id="rId78" Type="http://schemas.openxmlformats.org/officeDocument/2006/relationships/hyperlink" Target="mailto:jayambermc662018@gmail.com" TargetMode="External"/><Relationship Id="rId94" Type="http://schemas.openxmlformats.org/officeDocument/2006/relationships/hyperlink" Target="mailto:dynamicairindia@gmail.com" TargetMode="External"/><Relationship Id="rId99" Type="http://schemas.openxmlformats.org/officeDocument/2006/relationships/hyperlink" Target="mailto:chairman@thebharathgroup.com" TargetMode="External"/><Relationship Id="rId101" Type="http://schemas.openxmlformats.org/officeDocument/2006/relationships/hyperlink" Target="mailto:sharad_sakhar@rediffmail.com" TargetMode="External"/><Relationship Id="rId122" Type="http://schemas.openxmlformats.org/officeDocument/2006/relationships/hyperlink" Target="mailto:4sspintexipl@gmail.com%20" TargetMode="External"/><Relationship Id="rId143" Type="http://schemas.openxmlformats.org/officeDocument/2006/relationships/hyperlink" Target="mailto:shreeramresins@gmail.com" TargetMode="External"/><Relationship Id="rId148" Type="http://schemas.openxmlformats.org/officeDocument/2006/relationships/hyperlink" Target="mailto:gsk.sivaguruspgm@gmail.com" TargetMode="External"/><Relationship Id="rId164" Type="http://schemas.openxmlformats.org/officeDocument/2006/relationships/hyperlink" Target="mailto:sachin.t@cmll.in" TargetMode="External"/><Relationship Id="rId169" Type="http://schemas.openxmlformats.org/officeDocument/2006/relationships/hyperlink" Target="mailto:sudha@brightpackaging.in" TargetMode="External"/><Relationship Id="rId185" Type="http://schemas.openxmlformats.org/officeDocument/2006/relationships/hyperlink" Target="mailto:kgoibhainsa@gmail.com" TargetMode="External"/><Relationship Id="rId4" Type="http://schemas.openxmlformats.org/officeDocument/2006/relationships/hyperlink" Target="mailto:gsk.sivaguruspgm@gmail.com" TargetMode="External"/><Relationship Id="rId9" Type="http://schemas.openxmlformats.org/officeDocument/2006/relationships/hyperlink" Target="mailto:ravindracallacpoly@gmail.com" TargetMode="External"/><Relationship Id="rId180" Type="http://schemas.openxmlformats.org/officeDocument/2006/relationships/hyperlink" Target="mailto:sk@dcxindia.com" TargetMode="External"/><Relationship Id="rId210" Type="http://schemas.openxmlformats.org/officeDocument/2006/relationships/hyperlink" Target="mailto:sachin@rahulcable.com;&#160;rupal.shionkar@rahulcable.com;&#160;mbk@rahulcable.com;&#160;suhas.sawant@rahulcable.com" TargetMode="External"/><Relationship Id="rId26" Type="http://schemas.openxmlformats.org/officeDocument/2006/relationships/hyperlink" Target="mailto:neeta@pkpharma.com" TargetMode="External"/><Relationship Id="rId47" Type="http://schemas.openxmlformats.org/officeDocument/2006/relationships/hyperlink" Target="mailto:eagleamritlal@yahoo.in,info@eaglesteels.com" TargetMode="External"/><Relationship Id="rId68" Type="http://schemas.openxmlformats.org/officeDocument/2006/relationships/hyperlink" Target="mailto:abhishekjain@rcapparels.com" TargetMode="External"/><Relationship Id="rId89" Type="http://schemas.openxmlformats.org/officeDocument/2006/relationships/hyperlink" Target="mailto:narsimhairon@gmail.com" TargetMode="External"/><Relationship Id="rId112" Type="http://schemas.openxmlformats.org/officeDocument/2006/relationships/hyperlink" Target="mailto:aidplindore@gmail.com" TargetMode="External"/><Relationship Id="rId133" Type="http://schemas.openxmlformats.org/officeDocument/2006/relationships/hyperlink" Target="mailto:advocate991@gmail.com%20" TargetMode="External"/><Relationship Id="rId154" Type="http://schemas.openxmlformats.org/officeDocument/2006/relationships/hyperlink" Target="mailto:spinoratiles.acc@gmail.com" TargetMode="External"/><Relationship Id="rId175" Type="http://schemas.openxmlformats.org/officeDocument/2006/relationships/hyperlink" Target="mailto:agson@agsonglobal.com;%20finance@agsonglobal.com" TargetMode="External"/><Relationship Id="rId196" Type="http://schemas.openxmlformats.org/officeDocument/2006/relationships/hyperlink" Target="mailto:JIGNESH.ITALIYA@PARINGEMS.IN" TargetMode="External"/><Relationship Id="rId200" Type="http://schemas.openxmlformats.org/officeDocument/2006/relationships/hyperlink" Target="mailto:neha.kamra@atsgreens.com,%20lovely.pathak@atsgreens.com" TargetMode="External"/><Relationship Id="rId16" Type="http://schemas.openxmlformats.org/officeDocument/2006/relationships/hyperlink" Target="mailto:rajendra.yadav@sayyaminvestments.in" TargetMode="External"/><Relationship Id="rId37" Type="http://schemas.openxmlformats.org/officeDocument/2006/relationships/hyperlink" Target="mailto:accounts@theaims.ac.in" TargetMode="External"/><Relationship Id="rId58" Type="http://schemas.openxmlformats.org/officeDocument/2006/relationships/hyperlink" Target="mailto:jagrutisugar@gmail.com" TargetMode="External"/><Relationship Id="rId79" Type="http://schemas.openxmlformats.org/officeDocument/2006/relationships/hyperlink" Target="mailto:account@shilp.co.in" TargetMode="External"/><Relationship Id="rId102" Type="http://schemas.openxmlformats.org/officeDocument/2006/relationships/hyperlink" Target="mailto:jatin@vamicaresorts.com;vamicaresort003@gmail.com" TargetMode="External"/><Relationship Id="rId123" Type="http://schemas.openxmlformats.org/officeDocument/2006/relationships/hyperlink" Target="mailto:accounts@velmedhospitals.com%20" TargetMode="External"/><Relationship Id="rId144" Type="http://schemas.openxmlformats.org/officeDocument/2006/relationships/hyperlink" Target="mailto:singhpappu41@gmail.com" TargetMode="External"/><Relationship Id="rId90" Type="http://schemas.openxmlformats.org/officeDocument/2006/relationships/hyperlink" Target="mailto:tirumalatirupatiricemill.ada@gmail.com" TargetMode="External"/><Relationship Id="rId165" Type="http://schemas.openxmlformats.org/officeDocument/2006/relationships/hyperlink" Target="mailto:iqramicrofinancefederation@gmail.com%22%20%3ciqramicrofinancefederation@gmail.com" TargetMode="External"/><Relationship Id="rId186" Type="http://schemas.openxmlformats.org/officeDocument/2006/relationships/hyperlink" Target="mailto:ravi@heerabgroup.com" TargetMode="External"/><Relationship Id="rId211" Type="http://schemas.openxmlformats.org/officeDocument/2006/relationships/hyperlink" Target="mailto:finance@swissgarnier.com" TargetMode="External"/><Relationship Id="rId27" Type="http://schemas.openxmlformats.org/officeDocument/2006/relationships/hyperlink" Target="mailto:guptaelr@gmail.com" TargetMode="External"/><Relationship Id="rId48" Type="http://schemas.openxmlformats.org/officeDocument/2006/relationships/hyperlink" Target="mailto:arun@radiantindia.net" TargetMode="External"/><Relationship Id="rId69" Type="http://schemas.openxmlformats.org/officeDocument/2006/relationships/hyperlink" Target="mailto:financechrysalis5@gmail.com" TargetMode="External"/><Relationship Id="rId113" Type="http://schemas.openxmlformats.org/officeDocument/2006/relationships/hyperlink" Target="mailto:aidplindore@gmail.com" TargetMode="External"/><Relationship Id="rId134" Type="http://schemas.openxmlformats.org/officeDocument/2006/relationships/hyperlink" Target="mailto:abhijit.jadhav@uniqueuhpcinfra.com;accounts@lssplindia.com" TargetMode="External"/><Relationship Id="rId80" Type="http://schemas.openxmlformats.org/officeDocument/2006/relationships/hyperlink" Target="mailto:sales@creaativepowertech.com" TargetMode="External"/><Relationship Id="rId155" Type="http://schemas.openxmlformats.org/officeDocument/2006/relationships/hyperlink" Target="mailto:cs.uditinfraworld@gmail.com" TargetMode="External"/><Relationship Id="rId176" Type="http://schemas.openxmlformats.org/officeDocument/2006/relationships/hyperlink" Target="mailto:account@girnarindustries.com" TargetMode="External"/><Relationship Id="rId197" Type="http://schemas.openxmlformats.org/officeDocument/2006/relationships/hyperlink" Target="mailto:info@millenniumtilesllp.com" TargetMode="External"/><Relationship Id="rId201" Type="http://schemas.openxmlformats.org/officeDocument/2006/relationships/hyperlink" Target="mailto:finoliteceramic@gmail.com" TargetMode="External"/><Relationship Id="rId17" Type="http://schemas.openxmlformats.org/officeDocument/2006/relationships/hyperlink" Target="mailto:sk@dcxindia.com" TargetMode="External"/><Relationship Id="rId38" Type="http://schemas.openxmlformats.org/officeDocument/2006/relationships/hyperlink" Target="mailto:ashish.aggarwal@worldswindow.com" TargetMode="External"/><Relationship Id="rId59" Type="http://schemas.openxmlformats.org/officeDocument/2006/relationships/hyperlink" Target="mailto:qualityexportsgoa@gmail.com" TargetMode="External"/><Relationship Id="rId103" Type="http://schemas.openxmlformats.org/officeDocument/2006/relationships/hyperlink" Target="mailto:chairman@thebharathgroup.com" TargetMode="External"/><Relationship Id="rId124" Type="http://schemas.openxmlformats.org/officeDocument/2006/relationships/hyperlink" Target="mailto:accounts.sharma@hzspl.in%20" TargetMode="External"/><Relationship Id="rId70" Type="http://schemas.openxmlformats.org/officeDocument/2006/relationships/hyperlink" Target="mailto:alok.tiwary@futuregroup.in" TargetMode="External"/><Relationship Id="rId91" Type="http://schemas.openxmlformats.org/officeDocument/2006/relationships/hyperlink" Target="mailto:aidplindore@gmail.com" TargetMode="External"/><Relationship Id="rId145" Type="http://schemas.openxmlformats.org/officeDocument/2006/relationships/hyperlink" Target="mailto:yogeshwarn@radiusdevelopers.com" TargetMode="External"/><Relationship Id="rId166" Type="http://schemas.openxmlformats.org/officeDocument/2006/relationships/hyperlink" Target="mailto:cs.uditinfraworld@gmail.com" TargetMode="External"/><Relationship Id="rId187" Type="http://schemas.openxmlformats.org/officeDocument/2006/relationships/hyperlink" Target="mailto:kgpjewellers1@gmail.com" TargetMode="External"/><Relationship Id="rId1" Type="http://schemas.openxmlformats.org/officeDocument/2006/relationships/hyperlink" Target="mailto:financedirector@pushpagiri.in" TargetMode="External"/><Relationship Id="rId212" Type="http://schemas.openxmlformats.org/officeDocument/2006/relationships/hyperlink" Target="mailto:kiran@poojacraftedhomes.in" TargetMode="External"/><Relationship Id="rId28" Type="http://schemas.openxmlformats.org/officeDocument/2006/relationships/hyperlink" Target="mailto:super_co1234@yahoo.in" TargetMode="External"/><Relationship Id="rId49" Type="http://schemas.openxmlformats.org/officeDocument/2006/relationships/hyperlink" Target="mailto:finance@enzotech.co.in" TargetMode="External"/><Relationship Id="rId114" Type="http://schemas.openxmlformats.org/officeDocument/2006/relationships/hyperlink" Target="mailto:cashmppgcl@gmail.com" TargetMode="External"/><Relationship Id="rId60" Type="http://schemas.openxmlformats.org/officeDocument/2006/relationships/hyperlink" Target="mailto:quick_dks@yahoo.co.in" TargetMode="External"/><Relationship Id="rId81" Type="http://schemas.openxmlformats.org/officeDocument/2006/relationships/hyperlink" Target="mailto:santoshwagleicedd@gmail.com" TargetMode="External"/><Relationship Id="rId135" Type="http://schemas.openxmlformats.org/officeDocument/2006/relationships/hyperlink" Target="mailto:drarunmehra@hotmail.com" TargetMode="External"/><Relationship Id="rId156" Type="http://schemas.openxmlformats.org/officeDocument/2006/relationships/hyperlink" Target="mailto:cs.uditinfraworld@gmail.com" TargetMode="External"/><Relationship Id="rId177" Type="http://schemas.openxmlformats.org/officeDocument/2006/relationships/hyperlink" Target="mailto:ranjeetha@pressmach.com,%20compliance@pressmach.com,%20sunilkumar@pressmach.com" TargetMode="External"/><Relationship Id="rId198" Type="http://schemas.openxmlformats.org/officeDocument/2006/relationships/hyperlink" Target="mailto:subbaramk@karlegroup.com" TargetMode="External"/><Relationship Id="rId202" Type="http://schemas.openxmlformats.org/officeDocument/2006/relationships/hyperlink" Target="mailto:hirenshah@ravirajfoils.com,%20tjain@ravirajfoils.com" TargetMode="External"/><Relationship Id="rId18" Type="http://schemas.openxmlformats.org/officeDocument/2006/relationships/hyperlink" Target="mailto:accounts@melzerspeciality.com" TargetMode="External"/><Relationship Id="rId39" Type="http://schemas.openxmlformats.org/officeDocument/2006/relationships/hyperlink" Target="mailto:rbgagal@gmail.com" TargetMode="External"/><Relationship Id="rId50" Type="http://schemas.openxmlformats.org/officeDocument/2006/relationships/hyperlink" Target="mailto:jaihindsugar@gmail.com" TargetMode="External"/><Relationship Id="rId104" Type="http://schemas.openxmlformats.org/officeDocument/2006/relationships/hyperlink" Target="mailto:accounts@sridevarajaagro.com" TargetMode="External"/><Relationship Id="rId125" Type="http://schemas.openxmlformats.org/officeDocument/2006/relationships/hyperlink" Target="mailto:mayaconst@gmail.com%20" TargetMode="External"/><Relationship Id="rId146" Type="http://schemas.openxmlformats.org/officeDocument/2006/relationships/hyperlink" Target="mailto:vinay@sianinfra.com" TargetMode="External"/><Relationship Id="rId167" Type="http://schemas.openxmlformats.org/officeDocument/2006/relationships/hyperlink" Target="mailto:sachin.t@cmll.in" TargetMode="External"/><Relationship Id="rId188" Type="http://schemas.openxmlformats.org/officeDocument/2006/relationships/hyperlink" Target="mailto:cs@khfm.in" TargetMode="External"/><Relationship Id="rId71" Type="http://schemas.openxmlformats.org/officeDocument/2006/relationships/hyperlink" Target="mailto:tushar.jagtap@advancedmobile.in" TargetMode="External"/><Relationship Id="rId92" Type="http://schemas.openxmlformats.org/officeDocument/2006/relationships/hyperlink" Target="mailto:drakenmetals@gmail.com" TargetMode="External"/><Relationship Id="rId213" Type="http://schemas.openxmlformats.org/officeDocument/2006/relationships/hyperlink" Target="mailto:sk@dcxindia.com" TargetMode="External"/><Relationship Id="rId2" Type="http://schemas.openxmlformats.org/officeDocument/2006/relationships/hyperlink" Target="mailto:satyam@etomotors.com" TargetMode="External"/><Relationship Id="rId29" Type="http://schemas.openxmlformats.org/officeDocument/2006/relationships/hyperlink" Target="mailto:tmeonline@gmail.com" TargetMode="External"/><Relationship Id="rId40" Type="http://schemas.openxmlformats.org/officeDocument/2006/relationships/hyperlink" Target="mailto:finance@shalimar.org,%20deepak.gaur@shalimar.org" TargetMode="External"/><Relationship Id="rId115" Type="http://schemas.openxmlformats.org/officeDocument/2006/relationships/hyperlink" Target="mailto:olympusmetal@hotmail.com" TargetMode="External"/><Relationship Id="rId136" Type="http://schemas.openxmlformats.org/officeDocument/2006/relationships/hyperlink" Target="mailto:jathargroup@rediffmail.com" TargetMode="External"/><Relationship Id="rId157" Type="http://schemas.openxmlformats.org/officeDocument/2006/relationships/hyperlink" Target="mailto:cs.uditinfraworld@gmail.com" TargetMode="External"/><Relationship Id="rId178" Type="http://schemas.openxmlformats.org/officeDocument/2006/relationships/hyperlink" Target="mailto:akash_nangia@sislinfotech.com,%20rohit_garg@sislinfotech.com,%20ranjeet_yadav@sislinfotech.com,%20hemant_chansoriya@sislinfotech.com" TargetMode="External"/><Relationship Id="rId61" Type="http://schemas.openxmlformats.org/officeDocument/2006/relationships/hyperlink" Target="mailto:bhartifood2016@gmail.com%20%20%20%20%20%20%20%20sachani.peeyush@gmail.com" TargetMode="External"/><Relationship Id="rId82" Type="http://schemas.openxmlformats.org/officeDocument/2006/relationships/hyperlink" Target="mailto:account@rkcotspin.com" TargetMode="External"/><Relationship Id="rId199" Type="http://schemas.openxmlformats.org/officeDocument/2006/relationships/hyperlink" Target="mailto:gkk1959@gmail.com" TargetMode="External"/><Relationship Id="rId203" Type="http://schemas.openxmlformats.org/officeDocument/2006/relationships/hyperlink" Target="mailto:adwalpalkar.finance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3FE09-8B59-4901-A3EE-006F4B9ACF01}">
  <dimension ref="B1:D286"/>
  <sheetViews>
    <sheetView topLeftCell="C1" workbookViewId="0">
      <selection activeCell="C2" sqref="C2"/>
    </sheetView>
  </sheetViews>
  <sheetFormatPr defaultRowHeight="14.4" x14ac:dyDescent="0.3"/>
  <cols>
    <col min="2" max="2" width="55.33203125" bestFit="1" customWidth="1"/>
    <col min="3" max="3" width="134.88671875" bestFit="1" customWidth="1"/>
    <col min="4" max="4" width="13.44140625" style="14" bestFit="1" customWidth="1"/>
    <col min="5" max="7" width="13.44140625" bestFit="1" customWidth="1"/>
    <col min="8" max="8" width="22.88671875" bestFit="1" customWidth="1"/>
  </cols>
  <sheetData>
    <row r="1" spans="2:4" x14ac:dyDescent="0.3">
      <c r="B1" s="55" t="s">
        <v>2</v>
      </c>
      <c r="C1" t="s">
        <v>808</v>
      </c>
    </row>
    <row r="2" spans="2:4" x14ac:dyDescent="0.3">
      <c r="B2" s="55" t="s">
        <v>849</v>
      </c>
      <c r="C2" t="s">
        <v>850</v>
      </c>
    </row>
    <row r="4" spans="2:4" x14ac:dyDescent="0.3">
      <c r="B4" s="55" t="s">
        <v>1</v>
      </c>
      <c r="C4" s="55" t="s">
        <v>264</v>
      </c>
      <c r="D4" s="55" t="s">
        <v>0</v>
      </c>
    </row>
    <row r="5" spans="2:4" x14ac:dyDescent="0.3">
      <c r="B5" t="s">
        <v>40</v>
      </c>
      <c r="C5" t="s">
        <v>339</v>
      </c>
      <c r="D5" s="86">
        <v>45901</v>
      </c>
    </row>
    <row r="6" spans="2:4" x14ac:dyDescent="0.3">
      <c r="B6" t="s">
        <v>69</v>
      </c>
      <c r="C6" t="s">
        <v>381</v>
      </c>
      <c r="D6" s="86">
        <v>45940</v>
      </c>
    </row>
    <row r="7" spans="2:4" x14ac:dyDescent="0.3">
      <c r="B7" t="s">
        <v>95</v>
      </c>
      <c r="C7" t="s">
        <v>418</v>
      </c>
      <c r="D7" s="86">
        <v>45960</v>
      </c>
    </row>
    <row r="8" spans="2:4" x14ac:dyDescent="0.3">
      <c r="B8" t="s">
        <v>71</v>
      </c>
      <c r="C8" t="s">
        <v>383</v>
      </c>
      <c r="D8" s="86">
        <v>45940</v>
      </c>
    </row>
    <row r="9" spans="2:4" x14ac:dyDescent="0.3">
      <c r="B9" t="s">
        <v>73</v>
      </c>
      <c r="C9" t="s">
        <v>385</v>
      </c>
      <c r="D9" s="86">
        <v>45945</v>
      </c>
    </row>
    <row r="10" spans="2:4" x14ac:dyDescent="0.3">
      <c r="B10" t="s">
        <v>74</v>
      </c>
      <c r="C10" t="s">
        <v>395</v>
      </c>
      <c r="D10" s="86">
        <v>45946</v>
      </c>
    </row>
    <row r="11" spans="2:4" x14ac:dyDescent="0.3">
      <c r="B11" t="s">
        <v>75</v>
      </c>
      <c r="C11" t="s">
        <v>388</v>
      </c>
      <c r="D11" s="86">
        <v>45946</v>
      </c>
    </row>
    <row r="12" spans="2:4" x14ac:dyDescent="0.3">
      <c r="B12" t="s">
        <v>48</v>
      </c>
      <c r="C12" t="s">
        <v>350</v>
      </c>
      <c r="D12" s="86">
        <v>45917</v>
      </c>
    </row>
    <row r="13" spans="2:4" x14ac:dyDescent="0.3">
      <c r="B13" t="s">
        <v>81</v>
      </c>
      <c r="C13" t="s">
        <v>401</v>
      </c>
      <c r="D13" s="86">
        <v>45947</v>
      </c>
    </row>
    <row r="14" spans="2:4" x14ac:dyDescent="0.3">
      <c r="B14" t="s">
        <v>87</v>
      </c>
      <c r="C14" t="s">
        <v>405</v>
      </c>
      <c r="D14" s="86">
        <v>45957</v>
      </c>
    </row>
    <row r="15" spans="2:4" x14ac:dyDescent="0.3">
      <c r="B15" t="s">
        <v>49</v>
      </c>
      <c r="C15" t="s">
        <v>355</v>
      </c>
      <c r="D15" s="86">
        <v>45919</v>
      </c>
    </row>
    <row r="16" spans="2:4" x14ac:dyDescent="0.3">
      <c r="B16" t="s">
        <v>76</v>
      </c>
      <c r="C16" t="s">
        <v>395</v>
      </c>
      <c r="D16" s="86">
        <v>45946</v>
      </c>
    </row>
    <row r="17" spans="2:4" x14ac:dyDescent="0.3">
      <c r="B17" t="s">
        <v>42</v>
      </c>
      <c r="C17" t="s">
        <v>341</v>
      </c>
      <c r="D17" s="86">
        <v>45901</v>
      </c>
    </row>
    <row r="18" spans="2:4" x14ac:dyDescent="0.3">
      <c r="B18" t="s">
        <v>72</v>
      </c>
      <c r="C18" t="s">
        <v>384</v>
      </c>
      <c r="D18" s="86">
        <v>45944</v>
      </c>
    </row>
    <row r="19" spans="2:4" x14ac:dyDescent="0.3">
      <c r="B19" t="s">
        <v>66</v>
      </c>
      <c r="C19" t="s">
        <v>379</v>
      </c>
      <c r="D19" s="86">
        <v>45939</v>
      </c>
    </row>
    <row r="20" spans="2:4" x14ac:dyDescent="0.3">
      <c r="B20" t="s">
        <v>77</v>
      </c>
      <c r="C20" t="s">
        <v>389</v>
      </c>
      <c r="D20" s="86">
        <v>45946</v>
      </c>
    </row>
    <row r="21" spans="2:4" x14ac:dyDescent="0.3">
      <c r="B21" t="s">
        <v>89</v>
      </c>
      <c r="C21" t="s">
        <v>409</v>
      </c>
      <c r="D21" s="86">
        <v>45958</v>
      </c>
    </row>
    <row r="22" spans="2:4" x14ac:dyDescent="0.3">
      <c r="B22" t="s">
        <v>60</v>
      </c>
      <c r="C22" t="s">
        <v>368</v>
      </c>
      <c r="D22" s="86">
        <v>45930</v>
      </c>
    </row>
    <row r="23" spans="2:4" x14ac:dyDescent="0.3">
      <c r="B23" t="s">
        <v>53</v>
      </c>
      <c r="C23" t="s">
        <v>364</v>
      </c>
      <c r="D23" s="86">
        <v>45922</v>
      </c>
    </row>
    <row r="24" spans="2:4" x14ac:dyDescent="0.3">
      <c r="B24" t="s">
        <v>64</v>
      </c>
      <c r="C24" t="s">
        <v>373</v>
      </c>
      <c r="D24" s="86">
        <v>45936</v>
      </c>
    </row>
    <row r="25" spans="2:4" x14ac:dyDescent="0.3">
      <c r="B25" t="s">
        <v>90</v>
      </c>
      <c r="C25" t="s">
        <v>414</v>
      </c>
      <c r="D25" s="86">
        <v>45959</v>
      </c>
    </row>
    <row r="26" spans="2:4" x14ac:dyDescent="0.3">
      <c r="B26" t="s">
        <v>91</v>
      </c>
      <c r="C26" t="s">
        <v>414</v>
      </c>
      <c r="D26" s="86">
        <v>45959</v>
      </c>
    </row>
    <row r="27" spans="2:4" x14ac:dyDescent="0.3">
      <c r="B27" t="s">
        <v>92</v>
      </c>
      <c r="C27" t="s">
        <v>414</v>
      </c>
      <c r="D27" s="86">
        <v>45959</v>
      </c>
    </row>
    <row r="28" spans="2:4" x14ac:dyDescent="0.3">
      <c r="B28" t="s">
        <v>45</v>
      </c>
      <c r="C28" t="s">
        <v>348</v>
      </c>
      <c r="D28" s="86">
        <v>45916</v>
      </c>
    </row>
    <row r="29" spans="2:4" x14ac:dyDescent="0.3">
      <c r="B29" t="s">
        <v>82</v>
      </c>
      <c r="C29" t="s">
        <v>403</v>
      </c>
      <c r="D29" s="86">
        <v>45947</v>
      </c>
    </row>
    <row r="30" spans="2:4" x14ac:dyDescent="0.3">
      <c r="B30" t="s">
        <v>62</v>
      </c>
      <c r="C30" t="s">
        <v>370</v>
      </c>
      <c r="D30" s="86">
        <v>45933</v>
      </c>
    </row>
    <row r="31" spans="2:4" x14ac:dyDescent="0.3">
      <c r="B31" t="s">
        <v>67</v>
      </c>
      <c r="C31" t="s">
        <v>378</v>
      </c>
      <c r="D31" s="86">
        <v>45939</v>
      </c>
    </row>
    <row r="32" spans="2:4" x14ac:dyDescent="0.3">
      <c r="B32" t="s">
        <v>85</v>
      </c>
      <c r="C32" t="s">
        <v>404</v>
      </c>
      <c r="D32" s="86">
        <v>45953</v>
      </c>
    </row>
    <row r="33" spans="2:4" x14ac:dyDescent="0.3">
      <c r="B33" t="s">
        <v>44</v>
      </c>
      <c r="C33" t="s">
        <v>342</v>
      </c>
      <c r="D33" s="86">
        <v>45911</v>
      </c>
    </row>
    <row r="34" spans="2:4" x14ac:dyDescent="0.3">
      <c r="B34" t="s">
        <v>78</v>
      </c>
      <c r="C34" t="s">
        <v>391</v>
      </c>
      <c r="D34" s="86">
        <v>45946</v>
      </c>
    </row>
    <row r="35" spans="2:4" x14ac:dyDescent="0.3">
      <c r="B35" t="s">
        <v>79</v>
      </c>
      <c r="C35" t="s">
        <v>394</v>
      </c>
      <c r="D35" s="86">
        <v>45946</v>
      </c>
    </row>
    <row r="36" spans="2:4" x14ac:dyDescent="0.3">
      <c r="B36" t="s">
        <v>93</v>
      </c>
      <c r="C36" t="s">
        <v>411</v>
      </c>
      <c r="D36" s="86">
        <v>45959</v>
      </c>
    </row>
    <row r="37" spans="2:4" x14ac:dyDescent="0.3">
      <c r="B37" t="s">
        <v>46</v>
      </c>
      <c r="C37" t="s">
        <v>344</v>
      </c>
      <c r="D37" s="86">
        <v>45916</v>
      </c>
    </row>
    <row r="38" spans="2:4" x14ac:dyDescent="0.3">
      <c r="B38" t="s">
        <v>54</v>
      </c>
      <c r="C38" t="s">
        <v>358</v>
      </c>
      <c r="D38" s="86">
        <v>45922</v>
      </c>
    </row>
    <row r="39" spans="2:4" x14ac:dyDescent="0.3">
      <c r="B39" t="s">
        <v>47</v>
      </c>
      <c r="C39" t="s">
        <v>346</v>
      </c>
      <c r="D39" s="86">
        <v>45916</v>
      </c>
    </row>
    <row r="40" spans="2:4" x14ac:dyDescent="0.3">
      <c r="B40" t="s">
        <v>88</v>
      </c>
      <c r="C40" t="s">
        <v>407</v>
      </c>
      <c r="D40" s="86">
        <v>45957</v>
      </c>
    </row>
    <row r="41" spans="2:4" x14ac:dyDescent="0.3">
      <c r="B41" t="s">
        <v>80</v>
      </c>
      <c r="C41" t="s">
        <v>397</v>
      </c>
      <c r="D41" s="86">
        <v>45946</v>
      </c>
    </row>
    <row r="42" spans="2:4" x14ac:dyDescent="0.3">
      <c r="B42" t="s">
        <v>94</v>
      </c>
      <c r="C42" t="s">
        <v>413</v>
      </c>
      <c r="D42" s="86">
        <v>45959</v>
      </c>
    </row>
    <row r="43" spans="2:4" x14ac:dyDescent="0.3">
      <c r="B43" t="s">
        <v>98</v>
      </c>
      <c r="C43" t="s">
        <v>424</v>
      </c>
      <c r="D43" s="86">
        <v>45961</v>
      </c>
    </row>
    <row r="44" spans="2:4" x14ac:dyDescent="0.3">
      <c r="B44" t="s">
        <v>97</v>
      </c>
      <c r="C44" t="s">
        <v>318</v>
      </c>
      <c r="D44" s="86">
        <v>45960</v>
      </c>
    </row>
    <row r="45" spans="2:4" x14ac:dyDescent="0.3">
      <c r="B45" t="s">
        <v>99</v>
      </c>
      <c r="C45" t="s">
        <v>422</v>
      </c>
      <c r="D45" s="86">
        <v>45961</v>
      </c>
    </row>
    <row r="46" spans="2:4" x14ac:dyDescent="0.3">
      <c r="B46" t="s">
        <v>83</v>
      </c>
      <c r="C46" t="s">
        <v>399</v>
      </c>
      <c r="D46" s="86">
        <v>45947</v>
      </c>
    </row>
    <row r="47" spans="2:4" x14ac:dyDescent="0.3">
      <c r="B47" t="s">
        <v>68</v>
      </c>
      <c r="C47" t="s">
        <v>376</v>
      </c>
      <c r="D47" s="86">
        <v>45939</v>
      </c>
    </row>
    <row r="48" spans="2:4" x14ac:dyDescent="0.3">
      <c r="B48" t="s">
        <v>50</v>
      </c>
      <c r="C48" t="s">
        <v>354</v>
      </c>
      <c r="D48" s="86">
        <v>45919</v>
      </c>
    </row>
    <row r="49" spans="2:4" x14ac:dyDescent="0.3">
      <c r="B49" t="s">
        <v>52</v>
      </c>
      <c r="C49" t="s">
        <v>352</v>
      </c>
      <c r="D49" s="86">
        <v>45919</v>
      </c>
    </row>
    <row r="50" spans="2:4" x14ac:dyDescent="0.3">
      <c r="B50" t="s">
        <v>55</v>
      </c>
      <c r="C50" t="s">
        <v>360</v>
      </c>
      <c r="D50" s="86">
        <v>45922</v>
      </c>
    </row>
    <row r="51" spans="2:4" x14ac:dyDescent="0.3">
      <c r="B51" t="s">
        <v>59</v>
      </c>
      <c r="C51" t="s">
        <v>366</v>
      </c>
      <c r="D51" s="86">
        <v>45926</v>
      </c>
    </row>
    <row r="52" spans="2:4" x14ac:dyDescent="0.3">
      <c r="B52" t="s">
        <v>57</v>
      </c>
      <c r="C52" t="s">
        <v>362</v>
      </c>
      <c r="D52" s="86">
        <v>45922</v>
      </c>
    </row>
    <row r="53" spans="2:4" x14ac:dyDescent="0.3">
      <c r="D53"/>
    </row>
    <row r="54" spans="2:4" x14ac:dyDescent="0.3">
      <c r="D54"/>
    </row>
    <row r="55" spans="2:4" x14ac:dyDescent="0.3">
      <c r="D55"/>
    </row>
    <row r="56" spans="2:4" x14ac:dyDescent="0.3">
      <c r="D56"/>
    </row>
    <row r="57" spans="2:4" x14ac:dyDescent="0.3">
      <c r="D57"/>
    </row>
    <row r="58" spans="2:4" x14ac:dyDescent="0.3">
      <c r="D58"/>
    </row>
    <row r="59" spans="2:4" x14ac:dyDescent="0.3">
      <c r="D59"/>
    </row>
    <row r="60" spans="2:4" x14ac:dyDescent="0.3">
      <c r="D60"/>
    </row>
    <row r="61" spans="2:4" x14ac:dyDescent="0.3">
      <c r="D61"/>
    </row>
    <row r="62" spans="2:4" x14ac:dyDescent="0.3">
      <c r="D62"/>
    </row>
    <row r="63" spans="2:4" x14ac:dyDescent="0.3">
      <c r="D63"/>
    </row>
    <row r="64" spans="2:4" x14ac:dyDescent="0.3">
      <c r="D64"/>
    </row>
    <row r="65" spans="4:4" x14ac:dyDescent="0.3">
      <c r="D65"/>
    </row>
    <row r="66" spans="4:4" x14ac:dyDescent="0.3">
      <c r="D66"/>
    </row>
    <row r="67" spans="4:4" x14ac:dyDescent="0.3">
      <c r="D67"/>
    </row>
    <row r="68" spans="4:4" x14ac:dyDescent="0.3">
      <c r="D68"/>
    </row>
    <row r="69" spans="4:4" x14ac:dyDescent="0.3">
      <c r="D69"/>
    </row>
    <row r="70" spans="4:4" x14ac:dyDescent="0.3">
      <c r="D70"/>
    </row>
    <row r="71" spans="4:4" x14ac:dyDescent="0.3">
      <c r="D71"/>
    </row>
    <row r="72" spans="4:4" x14ac:dyDescent="0.3">
      <c r="D72"/>
    </row>
    <row r="73" spans="4:4" x14ac:dyDescent="0.3">
      <c r="D73"/>
    </row>
    <row r="74" spans="4:4" x14ac:dyDescent="0.3">
      <c r="D74"/>
    </row>
    <row r="75" spans="4:4" x14ac:dyDescent="0.3">
      <c r="D75"/>
    </row>
    <row r="76" spans="4:4" x14ac:dyDescent="0.3">
      <c r="D76"/>
    </row>
    <row r="77" spans="4:4" x14ac:dyDescent="0.3">
      <c r="D77"/>
    </row>
    <row r="78" spans="4:4" x14ac:dyDescent="0.3">
      <c r="D78"/>
    </row>
    <row r="79" spans="4:4" x14ac:dyDescent="0.3">
      <c r="D79"/>
    </row>
    <row r="80" spans="4:4" x14ac:dyDescent="0.3">
      <c r="D80"/>
    </row>
    <row r="81" spans="4:4" x14ac:dyDescent="0.3">
      <c r="D81"/>
    </row>
    <row r="82" spans="4:4" x14ac:dyDescent="0.3">
      <c r="D82"/>
    </row>
    <row r="83" spans="4:4" x14ac:dyDescent="0.3">
      <c r="D83"/>
    </row>
    <row r="84" spans="4:4" x14ac:dyDescent="0.3">
      <c r="D84"/>
    </row>
    <row r="85" spans="4:4" x14ac:dyDescent="0.3">
      <c r="D85"/>
    </row>
    <row r="86" spans="4:4" x14ac:dyDescent="0.3">
      <c r="D86"/>
    </row>
    <row r="87" spans="4:4" x14ac:dyDescent="0.3">
      <c r="D87"/>
    </row>
    <row r="88" spans="4:4" x14ac:dyDescent="0.3">
      <c r="D88"/>
    </row>
    <row r="89" spans="4:4" x14ac:dyDescent="0.3">
      <c r="D89"/>
    </row>
    <row r="90" spans="4:4" x14ac:dyDescent="0.3">
      <c r="D90"/>
    </row>
    <row r="91" spans="4:4" x14ac:dyDescent="0.3">
      <c r="D91"/>
    </row>
    <row r="92" spans="4:4" x14ac:dyDescent="0.3">
      <c r="D92"/>
    </row>
    <row r="93" spans="4:4" x14ac:dyDescent="0.3">
      <c r="D93"/>
    </row>
    <row r="94" spans="4:4" x14ac:dyDescent="0.3">
      <c r="D94"/>
    </row>
    <row r="95" spans="4:4" x14ac:dyDescent="0.3">
      <c r="D95"/>
    </row>
    <row r="96" spans="4:4" x14ac:dyDescent="0.3">
      <c r="D96"/>
    </row>
    <row r="97" spans="4:4" x14ac:dyDescent="0.3">
      <c r="D97"/>
    </row>
    <row r="98" spans="4:4" x14ac:dyDescent="0.3">
      <c r="D98"/>
    </row>
    <row r="99" spans="4:4" x14ac:dyDescent="0.3">
      <c r="D99"/>
    </row>
    <row r="100" spans="4:4" x14ac:dyDescent="0.3">
      <c r="D100"/>
    </row>
    <row r="101" spans="4:4" x14ac:dyDescent="0.3">
      <c r="D101"/>
    </row>
    <row r="102" spans="4:4" x14ac:dyDescent="0.3">
      <c r="D102"/>
    </row>
    <row r="103" spans="4:4" x14ac:dyDescent="0.3">
      <c r="D103"/>
    </row>
    <row r="104" spans="4:4" x14ac:dyDescent="0.3">
      <c r="D104"/>
    </row>
    <row r="105" spans="4:4" x14ac:dyDescent="0.3">
      <c r="D105"/>
    </row>
    <row r="106" spans="4:4" x14ac:dyDescent="0.3">
      <c r="D106"/>
    </row>
    <row r="107" spans="4:4" x14ac:dyDescent="0.3">
      <c r="D107"/>
    </row>
    <row r="108" spans="4:4" x14ac:dyDescent="0.3">
      <c r="D108"/>
    </row>
    <row r="109" spans="4:4" x14ac:dyDescent="0.3">
      <c r="D109"/>
    </row>
    <row r="110" spans="4:4" x14ac:dyDescent="0.3">
      <c r="D110"/>
    </row>
    <row r="111" spans="4:4" x14ac:dyDescent="0.3">
      <c r="D111"/>
    </row>
    <row r="112" spans="4:4" x14ac:dyDescent="0.3">
      <c r="D112"/>
    </row>
    <row r="113" spans="4:4" x14ac:dyDescent="0.3">
      <c r="D113"/>
    </row>
    <row r="114" spans="4:4" x14ac:dyDescent="0.3">
      <c r="D114"/>
    </row>
    <row r="115" spans="4:4" x14ac:dyDescent="0.3">
      <c r="D115"/>
    </row>
    <row r="116" spans="4:4" x14ac:dyDescent="0.3">
      <c r="D116"/>
    </row>
    <row r="117" spans="4:4" x14ac:dyDescent="0.3">
      <c r="D117"/>
    </row>
    <row r="118" spans="4:4" x14ac:dyDescent="0.3">
      <c r="D118"/>
    </row>
    <row r="119" spans="4:4" x14ac:dyDescent="0.3">
      <c r="D119"/>
    </row>
    <row r="120" spans="4:4" x14ac:dyDescent="0.3">
      <c r="D120"/>
    </row>
    <row r="121" spans="4:4" x14ac:dyDescent="0.3">
      <c r="D121"/>
    </row>
    <row r="122" spans="4:4" x14ac:dyDescent="0.3">
      <c r="D122"/>
    </row>
    <row r="123" spans="4:4" x14ac:dyDescent="0.3">
      <c r="D123"/>
    </row>
    <row r="124" spans="4:4" x14ac:dyDescent="0.3">
      <c r="D124"/>
    </row>
    <row r="125" spans="4:4" x14ac:dyDescent="0.3">
      <c r="D125"/>
    </row>
    <row r="126" spans="4:4" x14ac:dyDescent="0.3">
      <c r="D126"/>
    </row>
    <row r="127" spans="4:4" x14ac:dyDescent="0.3">
      <c r="D127"/>
    </row>
    <row r="128" spans="4:4" x14ac:dyDescent="0.3">
      <c r="D128"/>
    </row>
    <row r="129" spans="4:4" x14ac:dyDescent="0.3">
      <c r="D129"/>
    </row>
    <row r="130" spans="4:4" x14ac:dyDescent="0.3">
      <c r="D130"/>
    </row>
    <row r="131" spans="4:4" x14ac:dyDescent="0.3">
      <c r="D131"/>
    </row>
    <row r="132" spans="4:4" x14ac:dyDescent="0.3">
      <c r="D132"/>
    </row>
    <row r="133" spans="4:4" x14ac:dyDescent="0.3">
      <c r="D133"/>
    </row>
    <row r="134" spans="4:4" x14ac:dyDescent="0.3">
      <c r="D134"/>
    </row>
    <row r="135" spans="4:4" x14ac:dyDescent="0.3">
      <c r="D135"/>
    </row>
    <row r="136" spans="4:4" x14ac:dyDescent="0.3">
      <c r="D136"/>
    </row>
    <row r="137" spans="4:4" x14ac:dyDescent="0.3">
      <c r="D137"/>
    </row>
    <row r="138" spans="4:4" x14ac:dyDescent="0.3">
      <c r="D138"/>
    </row>
    <row r="139" spans="4:4" x14ac:dyDescent="0.3">
      <c r="D139"/>
    </row>
    <row r="140" spans="4:4" x14ac:dyDescent="0.3">
      <c r="D140"/>
    </row>
    <row r="141" spans="4:4" x14ac:dyDescent="0.3">
      <c r="D141"/>
    </row>
    <row r="142" spans="4:4" x14ac:dyDescent="0.3">
      <c r="D142"/>
    </row>
    <row r="143" spans="4:4" x14ac:dyDescent="0.3">
      <c r="D143"/>
    </row>
    <row r="144" spans="4:4" x14ac:dyDescent="0.3">
      <c r="D144"/>
    </row>
    <row r="145" spans="4:4" x14ac:dyDescent="0.3">
      <c r="D145"/>
    </row>
    <row r="146" spans="4:4" x14ac:dyDescent="0.3">
      <c r="D146"/>
    </row>
    <row r="147" spans="4:4" x14ac:dyDescent="0.3">
      <c r="D147"/>
    </row>
    <row r="148" spans="4:4" x14ac:dyDescent="0.3">
      <c r="D148"/>
    </row>
    <row r="149" spans="4:4" x14ac:dyDescent="0.3">
      <c r="D149"/>
    </row>
    <row r="150" spans="4:4" x14ac:dyDescent="0.3">
      <c r="D150"/>
    </row>
    <row r="151" spans="4:4" x14ac:dyDescent="0.3">
      <c r="D151"/>
    </row>
    <row r="152" spans="4:4" x14ac:dyDescent="0.3">
      <c r="D152"/>
    </row>
    <row r="153" spans="4:4" x14ac:dyDescent="0.3">
      <c r="D153"/>
    </row>
    <row r="154" spans="4:4" x14ac:dyDescent="0.3">
      <c r="D154"/>
    </row>
    <row r="155" spans="4:4" x14ac:dyDescent="0.3">
      <c r="D155"/>
    </row>
    <row r="156" spans="4:4" x14ac:dyDescent="0.3">
      <c r="D156"/>
    </row>
    <row r="157" spans="4:4" x14ac:dyDescent="0.3">
      <c r="D157"/>
    </row>
    <row r="158" spans="4:4" x14ac:dyDescent="0.3">
      <c r="D158"/>
    </row>
    <row r="159" spans="4:4" x14ac:dyDescent="0.3">
      <c r="D159"/>
    </row>
    <row r="160" spans="4:4" x14ac:dyDescent="0.3">
      <c r="D160"/>
    </row>
    <row r="161" spans="4:4" x14ac:dyDescent="0.3">
      <c r="D161"/>
    </row>
    <row r="162" spans="4:4" x14ac:dyDescent="0.3">
      <c r="D162"/>
    </row>
    <row r="163" spans="4:4" x14ac:dyDescent="0.3">
      <c r="D163"/>
    </row>
    <row r="164" spans="4:4" x14ac:dyDescent="0.3">
      <c r="D164"/>
    </row>
    <row r="165" spans="4:4" x14ac:dyDescent="0.3">
      <c r="D165"/>
    </row>
    <row r="166" spans="4:4" x14ac:dyDescent="0.3">
      <c r="D166"/>
    </row>
    <row r="167" spans="4:4" x14ac:dyDescent="0.3">
      <c r="D167"/>
    </row>
    <row r="168" spans="4:4" x14ac:dyDescent="0.3">
      <c r="D168"/>
    </row>
    <row r="169" spans="4:4" x14ac:dyDescent="0.3">
      <c r="D169"/>
    </row>
    <row r="170" spans="4:4" x14ac:dyDescent="0.3">
      <c r="D170"/>
    </row>
    <row r="171" spans="4:4" x14ac:dyDescent="0.3">
      <c r="D171"/>
    </row>
    <row r="172" spans="4:4" x14ac:dyDescent="0.3">
      <c r="D172"/>
    </row>
    <row r="173" spans="4:4" x14ac:dyDescent="0.3">
      <c r="D173"/>
    </row>
    <row r="174" spans="4:4" x14ac:dyDescent="0.3">
      <c r="D174"/>
    </row>
    <row r="175" spans="4:4" x14ac:dyDescent="0.3">
      <c r="D175"/>
    </row>
    <row r="176" spans="4:4" x14ac:dyDescent="0.3">
      <c r="D176"/>
    </row>
    <row r="177" spans="4:4" x14ac:dyDescent="0.3">
      <c r="D177"/>
    </row>
    <row r="178" spans="4:4" x14ac:dyDescent="0.3">
      <c r="D178"/>
    </row>
    <row r="179" spans="4:4" x14ac:dyDescent="0.3">
      <c r="D179"/>
    </row>
    <row r="180" spans="4:4" x14ac:dyDescent="0.3">
      <c r="D180"/>
    </row>
    <row r="181" spans="4:4" x14ac:dyDescent="0.3">
      <c r="D181"/>
    </row>
    <row r="182" spans="4:4" x14ac:dyDescent="0.3">
      <c r="D182"/>
    </row>
    <row r="183" spans="4:4" x14ac:dyDescent="0.3">
      <c r="D183"/>
    </row>
    <row r="184" spans="4:4" x14ac:dyDescent="0.3">
      <c r="D184"/>
    </row>
    <row r="185" spans="4:4" x14ac:dyDescent="0.3">
      <c r="D185"/>
    </row>
    <row r="186" spans="4:4" x14ac:dyDescent="0.3">
      <c r="D186"/>
    </row>
    <row r="187" spans="4:4" x14ac:dyDescent="0.3">
      <c r="D187"/>
    </row>
    <row r="188" spans="4:4" x14ac:dyDescent="0.3">
      <c r="D188"/>
    </row>
    <row r="189" spans="4:4" x14ac:dyDescent="0.3">
      <c r="D189"/>
    </row>
    <row r="190" spans="4:4" x14ac:dyDescent="0.3">
      <c r="D190"/>
    </row>
    <row r="191" spans="4:4" x14ac:dyDescent="0.3">
      <c r="D191"/>
    </row>
    <row r="192" spans="4:4" x14ac:dyDescent="0.3">
      <c r="D192"/>
    </row>
    <row r="193" spans="4:4" x14ac:dyDescent="0.3">
      <c r="D193"/>
    </row>
    <row r="194" spans="4:4" x14ac:dyDescent="0.3">
      <c r="D194"/>
    </row>
    <row r="195" spans="4:4" x14ac:dyDescent="0.3">
      <c r="D195"/>
    </row>
    <row r="196" spans="4:4" x14ac:dyDescent="0.3">
      <c r="D196"/>
    </row>
    <row r="197" spans="4:4" x14ac:dyDescent="0.3">
      <c r="D197"/>
    </row>
    <row r="198" spans="4:4" x14ac:dyDescent="0.3">
      <c r="D198"/>
    </row>
    <row r="199" spans="4:4" x14ac:dyDescent="0.3">
      <c r="D199"/>
    </row>
    <row r="200" spans="4:4" x14ac:dyDescent="0.3">
      <c r="D200"/>
    </row>
    <row r="201" spans="4:4" x14ac:dyDescent="0.3">
      <c r="D201"/>
    </row>
    <row r="202" spans="4:4" x14ac:dyDescent="0.3">
      <c r="D202"/>
    </row>
    <row r="203" spans="4:4" x14ac:dyDescent="0.3">
      <c r="D203"/>
    </row>
    <row r="204" spans="4:4" x14ac:dyDescent="0.3">
      <c r="D204"/>
    </row>
    <row r="205" spans="4:4" x14ac:dyDescent="0.3">
      <c r="D205"/>
    </row>
    <row r="206" spans="4:4" x14ac:dyDescent="0.3">
      <c r="D206"/>
    </row>
    <row r="207" spans="4:4" x14ac:dyDescent="0.3">
      <c r="D207"/>
    </row>
    <row r="208" spans="4:4" x14ac:dyDescent="0.3">
      <c r="D208"/>
    </row>
    <row r="209" spans="4:4" x14ac:dyDescent="0.3">
      <c r="D209"/>
    </row>
    <row r="210" spans="4:4" x14ac:dyDescent="0.3">
      <c r="D210"/>
    </row>
    <row r="211" spans="4:4" x14ac:dyDescent="0.3">
      <c r="D211"/>
    </row>
    <row r="212" spans="4:4" x14ac:dyDescent="0.3">
      <c r="D212"/>
    </row>
    <row r="213" spans="4:4" x14ac:dyDescent="0.3">
      <c r="D213"/>
    </row>
    <row r="214" spans="4:4" x14ac:dyDescent="0.3">
      <c r="D214"/>
    </row>
    <row r="215" spans="4:4" x14ac:dyDescent="0.3">
      <c r="D215"/>
    </row>
    <row r="216" spans="4:4" x14ac:dyDescent="0.3">
      <c r="D216"/>
    </row>
    <row r="217" spans="4:4" x14ac:dyDescent="0.3">
      <c r="D217"/>
    </row>
    <row r="218" spans="4:4" x14ac:dyDescent="0.3">
      <c r="D218"/>
    </row>
    <row r="219" spans="4:4" x14ac:dyDescent="0.3">
      <c r="D219"/>
    </row>
    <row r="220" spans="4:4" x14ac:dyDescent="0.3">
      <c r="D220"/>
    </row>
    <row r="221" spans="4:4" x14ac:dyDescent="0.3">
      <c r="D221"/>
    </row>
    <row r="222" spans="4:4" x14ac:dyDescent="0.3">
      <c r="D222"/>
    </row>
    <row r="223" spans="4:4" x14ac:dyDescent="0.3">
      <c r="D223"/>
    </row>
    <row r="224" spans="4:4" x14ac:dyDescent="0.3">
      <c r="D224"/>
    </row>
    <row r="225" spans="4:4" x14ac:dyDescent="0.3">
      <c r="D225"/>
    </row>
    <row r="226" spans="4:4" x14ac:dyDescent="0.3">
      <c r="D226"/>
    </row>
    <row r="227" spans="4:4" x14ac:dyDescent="0.3">
      <c r="D227"/>
    </row>
    <row r="228" spans="4:4" x14ac:dyDescent="0.3">
      <c r="D228"/>
    </row>
    <row r="229" spans="4:4" x14ac:dyDescent="0.3">
      <c r="D229"/>
    </row>
    <row r="230" spans="4:4" x14ac:dyDescent="0.3">
      <c r="D230"/>
    </row>
    <row r="231" spans="4:4" x14ac:dyDescent="0.3">
      <c r="D231"/>
    </row>
    <row r="232" spans="4:4" x14ac:dyDescent="0.3">
      <c r="D232"/>
    </row>
    <row r="233" spans="4:4" x14ac:dyDescent="0.3">
      <c r="D233"/>
    </row>
    <row r="234" spans="4:4" x14ac:dyDescent="0.3">
      <c r="D234"/>
    </row>
    <row r="235" spans="4:4" x14ac:dyDescent="0.3">
      <c r="D235"/>
    </row>
    <row r="236" spans="4:4" x14ac:dyDescent="0.3">
      <c r="D236"/>
    </row>
    <row r="237" spans="4:4" x14ac:dyDescent="0.3">
      <c r="D237"/>
    </row>
    <row r="238" spans="4:4" x14ac:dyDescent="0.3">
      <c r="D238"/>
    </row>
    <row r="239" spans="4:4" x14ac:dyDescent="0.3">
      <c r="D239"/>
    </row>
    <row r="240" spans="4:4" x14ac:dyDescent="0.3">
      <c r="D240"/>
    </row>
    <row r="241" spans="4:4" x14ac:dyDescent="0.3">
      <c r="D241"/>
    </row>
    <row r="242" spans="4:4" x14ac:dyDescent="0.3">
      <c r="D242"/>
    </row>
    <row r="243" spans="4:4" x14ac:dyDescent="0.3">
      <c r="D243"/>
    </row>
    <row r="244" spans="4:4" x14ac:dyDescent="0.3">
      <c r="D244"/>
    </row>
    <row r="245" spans="4:4" x14ac:dyDescent="0.3">
      <c r="D245"/>
    </row>
    <row r="246" spans="4:4" x14ac:dyDescent="0.3">
      <c r="D246"/>
    </row>
    <row r="247" spans="4:4" x14ac:dyDescent="0.3">
      <c r="D247"/>
    </row>
    <row r="248" spans="4:4" x14ac:dyDescent="0.3">
      <c r="D248"/>
    </row>
    <row r="249" spans="4:4" x14ac:dyDescent="0.3">
      <c r="D249"/>
    </row>
    <row r="250" spans="4:4" x14ac:dyDescent="0.3">
      <c r="D250"/>
    </row>
    <row r="251" spans="4:4" x14ac:dyDescent="0.3">
      <c r="D251"/>
    </row>
    <row r="252" spans="4:4" x14ac:dyDescent="0.3">
      <c r="D252"/>
    </row>
    <row r="253" spans="4:4" x14ac:dyDescent="0.3">
      <c r="D253"/>
    </row>
    <row r="254" spans="4:4" x14ac:dyDescent="0.3">
      <c r="D254"/>
    </row>
    <row r="255" spans="4:4" x14ac:dyDescent="0.3">
      <c r="D255"/>
    </row>
    <row r="256" spans="4:4" x14ac:dyDescent="0.3">
      <c r="D256"/>
    </row>
    <row r="257" spans="4:4" x14ac:dyDescent="0.3">
      <c r="D257"/>
    </row>
    <row r="258" spans="4:4" x14ac:dyDescent="0.3">
      <c r="D258"/>
    </row>
    <row r="259" spans="4:4" x14ac:dyDescent="0.3">
      <c r="D259"/>
    </row>
    <row r="260" spans="4:4" x14ac:dyDescent="0.3">
      <c r="D260"/>
    </row>
    <row r="261" spans="4:4" x14ac:dyDescent="0.3">
      <c r="D261"/>
    </row>
    <row r="262" spans="4:4" x14ac:dyDescent="0.3">
      <c r="D262"/>
    </row>
    <row r="263" spans="4:4" x14ac:dyDescent="0.3">
      <c r="D263"/>
    </row>
    <row r="264" spans="4:4" x14ac:dyDescent="0.3">
      <c r="D264"/>
    </row>
    <row r="265" spans="4:4" x14ac:dyDescent="0.3">
      <c r="D265"/>
    </row>
    <row r="266" spans="4:4" x14ac:dyDescent="0.3">
      <c r="D266"/>
    </row>
    <row r="267" spans="4:4" x14ac:dyDescent="0.3">
      <c r="D267"/>
    </row>
    <row r="268" spans="4:4" x14ac:dyDescent="0.3">
      <c r="D268"/>
    </row>
    <row r="269" spans="4:4" x14ac:dyDescent="0.3">
      <c r="D269"/>
    </row>
    <row r="270" spans="4:4" x14ac:dyDescent="0.3">
      <c r="D270"/>
    </row>
    <row r="271" spans="4:4" x14ac:dyDescent="0.3">
      <c r="D271"/>
    </row>
    <row r="272" spans="4:4" x14ac:dyDescent="0.3">
      <c r="D272"/>
    </row>
    <row r="273" spans="4:4" x14ac:dyDescent="0.3">
      <c r="D273"/>
    </row>
    <row r="274" spans="4:4" x14ac:dyDescent="0.3">
      <c r="D274"/>
    </row>
    <row r="275" spans="4:4" x14ac:dyDescent="0.3">
      <c r="D275"/>
    </row>
    <row r="276" spans="4:4" x14ac:dyDescent="0.3">
      <c r="D276"/>
    </row>
    <row r="277" spans="4:4" x14ac:dyDescent="0.3">
      <c r="D277"/>
    </row>
    <row r="278" spans="4:4" x14ac:dyDescent="0.3">
      <c r="D278"/>
    </row>
    <row r="279" spans="4:4" x14ac:dyDescent="0.3">
      <c r="D279"/>
    </row>
    <row r="280" spans="4:4" x14ac:dyDescent="0.3">
      <c r="D280"/>
    </row>
    <row r="281" spans="4:4" x14ac:dyDescent="0.3">
      <c r="D281"/>
    </row>
    <row r="282" spans="4:4" x14ac:dyDescent="0.3">
      <c r="D282"/>
    </row>
    <row r="283" spans="4:4" x14ac:dyDescent="0.3">
      <c r="D283"/>
    </row>
    <row r="284" spans="4:4" x14ac:dyDescent="0.3">
      <c r="D284"/>
    </row>
    <row r="285" spans="4:4" x14ac:dyDescent="0.3">
      <c r="D285"/>
    </row>
    <row r="286" spans="4:4" x14ac:dyDescent="0.3">
      <c r="D28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297"/>
  <sheetViews>
    <sheetView tabSelected="1" zoomScaleNormal="100" workbookViewId="0">
      <pane xSplit="3" ySplit="1" topLeftCell="K288" activePane="bottomRight" state="frozen"/>
      <selection pane="topRight"/>
      <selection pane="bottomLeft"/>
      <selection pane="bottomRight" activeCell="R295" sqref="R295"/>
    </sheetView>
  </sheetViews>
  <sheetFormatPr defaultColWidth="9.109375" defaultRowHeight="18.75" customHeight="1" x14ac:dyDescent="0.25"/>
  <cols>
    <col min="1" max="1" width="13" style="5" bestFit="1" customWidth="1"/>
    <col min="2" max="2" width="9.109375" style="5"/>
    <col min="3" max="3" width="40.109375" style="11" customWidth="1"/>
    <col min="4" max="4" width="12.33203125" style="62" customWidth="1"/>
    <col min="5" max="5" width="25" style="5" hidden="1" customWidth="1"/>
    <col min="6" max="7" width="18.88671875" style="11" customWidth="1"/>
    <col min="8" max="8" width="17" style="12" customWidth="1"/>
    <col min="9" max="10" width="26.5546875" style="11" customWidth="1"/>
    <col min="11" max="11" width="13" style="13" customWidth="1"/>
    <col min="12" max="12" width="21.109375" style="11" customWidth="1"/>
    <col min="13" max="13" width="21" style="69" customWidth="1"/>
    <col min="14" max="14" width="21" style="4" customWidth="1"/>
    <col min="15" max="15" width="19" style="5" bestFit="1" customWidth="1"/>
    <col min="16" max="16" width="23.6640625" style="4" customWidth="1"/>
    <col min="17" max="17" width="14.88671875" style="10" bestFit="1" customWidth="1"/>
    <col min="18" max="20" width="9.109375" style="5"/>
    <col min="21" max="21" width="25.77734375" style="5" bestFit="1" customWidth="1"/>
    <col min="22" max="22" width="17" style="5" bestFit="1" customWidth="1"/>
    <col min="23" max="16384" width="9.109375" style="5"/>
  </cols>
  <sheetData>
    <row r="1" spans="1:22" ht="18.75" customHeight="1" x14ac:dyDescent="0.25">
      <c r="A1" s="95">
        <f ca="1">TODAY()</f>
        <v>46316</v>
      </c>
      <c r="B1" s="96" t="s">
        <v>3</v>
      </c>
      <c r="C1" s="17" t="s">
        <v>1</v>
      </c>
      <c r="D1" s="57" t="s">
        <v>256</v>
      </c>
      <c r="E1" s="17" t="s">
        <v>257</v>
      </c>
      <c r="F1" s="17" t="s">
        <v>2</v>
      </c>
      <c r="G1" s="17" t="s">
        <v>258</v>
      </c>
      <c r="H1" s="18" t="s">
        <v>0</v>
      </c>
      <c r="I1" s="17" t="s">
        <v>259</v>
      </c>
      <c r="J1" s="17" t="s">
        <v>260</v>
      </c>
      <c r="K1" s="17" t="s">
        <v>261</v>
      </c>
      <c r="L1" s="73" t="s">
        <v>262</v>
      </c>
      <c r="M1" s="78" t="s">
        <v>263</v>
      </c>
      <c r="N1" s="17" t="s">
        <v>264</v>
      </c>
      <c r="O1" s="97">
        <f ca="1">TODAY()</f>
        <v>46316</v>
      </c>
      <c r="P1" s="98" t="s">
        <v>265</v>
      </c>
      <c r="Q1" s="96" t="s">
        <v>266</v>
      </c>
      <c r="R1" s="5" t="s">
        <v>890</v>
      </c>
      <c r="U1" s="5" t="s">
        <v>267</v>
      </c>
      <c r="V1" s="5" t="s">
        <v>268</v>
      </c>
    </row>
    <row r="2" spans="1:22" ht="18.75" customHeight="1" x14ac:dyDescent="0.25">
      <c r="A2" s="16">
        <f ca="1">IF(I2="Withdrawn",,($A$1-H2)-365)</f>
        <v>12</v>
      </c>
      <c r="B2" s="71" t="b">
        <v>0</v>
      </c>
      <c r="C2" s="21" t="s">
        <v>66</v>
      </c>
      <c r="D2" s="58">
        <v>60</v>
      </c>
      <c r="E2" s="16"/>
      <c r="F2" s="21" t="s">
        <v>13</v>
      </c>
      <c r="G2" s="21" t="s">
        <v>294</v>
      </c>
      <c r="H2" s="29">
        <v>45939</v>
      </c>
      <c r="I2" s="21" t="s">
        <v>826</v>
      </c>
      <c r="J2" s="21" t="s">
        <v>278</v>
      </c>
      <c r="K2" s="23">
        <f t="shared" ref="K2:K65" si="0">EDATE(H2,12)</f>
        <v>46304</v>
      </c>
      <c r="L2" s="21"/>
      <c r="M2" s="30"/>
      <c r="N2" s="19" t="s">
        <v>379</v>
      </c>
      <c r="O2" s="16"/>
      <c r="P2" s="19"/>
      <c r="Q2" s="24">
        <v>46310</v>
      </c>
      <c r="U2" s="5" t="s">
        <v>819</v>
      </c>
      <c r="V2" s="5" t="s">
        <v>272</v>
      </c>
    </row>
    <row r="3" spans="1:22" ht="18.75" customHeight="1" x14ac:dyDescent="0.25">
      <c r="A3" s="16">
        <f ca="1">IF(I3="Withdrawn",,($A$1-H3)-365)</f>
        <v>11</v>
      </c>
      <c r="B3" s="71" t="b">
        <v>0</v>
      </c>
      <c r="C3" s="21" t="s">
        <v>69</v>
      </c>
      <c r="D3" s="58">
        <v>60.11</v>
      </c>
      <c r="E3" s="16"/>
      <c r="F3" s="21" t="s">
        <v>70</v>
      </c>
      <c r="G3" s="21" t="s">
        <v>294</v>
      </c>
      <c r="H3" s="29">
        <v>45940</v>
      </c>
      <c r="I3" s="21" t="s">
        <v>274</v>
      </c>
      <c r="J3" s="21"/>
      <c r="K3" s="23">
        <f t="shared" si="0"/>
        <v>46305</v>
      </c>
      <c r="L3" s="21" t="s">
        <v>380</v>
      </c>
      <c r="M3" s="30"/>
      <c r="N3" s="19" t="s">
        <v>381</v>
      </c>
      <c r="O3" s="16"/>
      <c r="P3" s="19"/>
      <c r="Q3" s="24">
        <v>46310</v>
      </c>
      <c r="U3" s="5" t="s">
        <v>820</v>
      </c>
      <c r="V3" s="5" t="s">
        <v>277</v>
      </c>
    </row>
    <row r="4" spans="1:22" ht="18.75" customHeight="1" x14ac:dyDescent="0.25">
      <c r="A4" s="16">
        <f ca="1">IF(I4="Withdrawn",,($A$1-H4)-365)</f>
        <v>11</v>
      </c>
      <c r="B4" s="71" t="b">
        <v>0</v>
      </c>
      <c r="C4" s="21" t="s">
        <v>71</v>
      </c>
      <c r="D4" s="58">
        <v>200</v>
      </c>
      <c r="E4" s="16"/>
      <c r="F4" s="21" t="s">
        <v>70</v>
      </c>
      <c r="G4" s="21" t="s">
        <v>294</v>
      </c>
      <c r="H4" s="29">
        <v>45940</v>
      </c>
      <c r="I4" s="21" t="s">
        <v>274</v>
      </c>
      <c r="J4" s="21" t="s">
        <v>274</v>
      </c>
      <c r="K4" s="23">
        <f t="shared" si="0"/>
        <v>46305</v>
      </c>
      <c r="L4" s="21" t="s">
        <v>382</v>
      </c>
      <c r="M4" s="30"/>
      <c r="N4" s="19" t="s">
        <v>383</v>
      </c>
      <c r="O4" s="16"/>
      <c r="P4" s="19"/>
      <c r="Q4" s="24">
        <v>46310</v>
      </c>
      <c r="U4" s="5" t="s">
        <v>821</v>
      </c>
      <c r="V4" s="5" t="s">
        <v>281</v>
      </c>
    </row>
    <row r="5" spans="1:22" ht="18.75" customHeight="1" x14ac:dyDescent="0.25">
      <c r="A5" s="16">
        <f ca="1">IF(I5="Withdrawn",,($A$1-H5)-365)</f>
        <v>7</v>
      </c>
      <c r="B5" s="71" t="b">
        <v>0</v>
      </c>
      <c r="C5" s="21" t="s">
        <v>869</v>
      </c>
      <c r="D5" s="58">
        <v>283.02999999999997</v>
      </c>
      <c r="E5" s="16"/>
      <c r="F5" s="21" t="s">
        <v>13</v>
      </c>
      <c r="G5" s="21" t="s">
        <v>294</v>
      </c>
      <c r="H5" s="29">
        <v>45944</v>
      </c>
      <c r="I5" s="21" t="s">
        <v>821</v>
      </c>
      <c r="J5" s="21"/>
      <c r="K5" s="23">
        <f t="shared" si="0"/>
        <v>46309</v>
      </c>
      <c r="L5" s="21"/>
      <c r="M5" s="30"/>
      <c r="N5" s="19" t="s">
        <v>384</v>
      </c>
      <c r="O5" s="16"/>
      <c r="P5" s="19"/>
      <c r="Q5" s="24">
        <v>46310</v>
      </c>
      <c r="U5" s="5" t="s">
        <v>822</v>
      </c>
      <c r="V5" s="5" t="s">
        <v>278</v>
      </c>
    </row>
    <row r="6" spans="1:22" ht="18.75" customHeight="1" x14ac:dyDescent="0.3">
      <c r="A6" s="16">
        <f ca="1">IF(I6="Withdrawn",,($A$1-H6)-365)</f>
        <v>2</v>
      </c>
      <c r="B6" s="71" t="b">
        <v>0</v>
      </c>
      <c r="C6" s="21" t="s">
        <v>73</v>
      </c>
      <c r="D6" s="40">
        <v>86</v>
      </c>
      <c r="E6" s="26">
        <v>45097</v>
      </c>
      <c r="F6" s="33" t="s">
        <v>29</v>
      </c>
      <c r="G6" s="28" t="s">
        <v>273</v>
      </c>
      <c r="H6" s="29">
        <v>45949</v>
      </c>
      <c r="I6" s="21" t="s">
        <v>825</v>
      </c>
      <c r="J6" s="21"/>
      <c r="K6" s="23">
        <f t="shared" si="0"/>
        <v>46314</v>
      </c>
      <c r="L6" s="21" t="s">
        <v>309</v>
      </c>
      <c r="M6" s="30" t="s">
        <v>309</v>
      </c>
      <c r="N6" s="19" t="s">
        <v>385</v>
      </c>
      <c r="O6" s="16"/>
      <c r="P6" s="19"/>
      <c r="Q6" s="24">
        <v>46310</v>
      </c>
      <c r="R6"/>
      <c r="S6"/>
      <c r="T6"/>
      <c r="U6" s="5" t="s">
        <v>823</v>
      </c>
      <c r="V6" s="5" t="s">
        <v>274</v>
      </c>
    </row>
    <row r="7" spans="1:22" ht="18.75" customHeight="1" x14ac:dyDescent="0.25">
      <c r="A7" s="16">
        <f t="shared" ref="A7:A69" ca="1" si="1">IF(OR(I7="Withdrawn",R7="Transfer"),"",($A$1-H7)-365)</f>
        <v>5</v>
      </c>
      <c r="B7" s="71" t="b">
        <v>0</v>
      </c>
      <c r="C7" s="21" t="s">
        <v>74</v>
      </c>
      <c r="D7" s="40">
        <v>95</v>
      </c>
      <c r="E7" s="26">
        <v>44257</v>
      </c>
      <c r="F7" s="33" t="s">
        <v>29</v>
      </c>
      <c r="G7" s="28" t="s">
        <v>273</v>
      </c>
      <c r="H7" s="29">
        <v>45946</v>
      </c>
      <c r="I7" s="21" t="s">
        <v>274</v>
      </c>
      <c r="J7" s="21" t="s">
        <v>274</v>
      </c>
      <c r="K7" s="23">
        <f t="shared" si="0"/>
        <v>46311</v>
      </c>
      <c r="L7" s="21" t="s">
        <v>290</v>
      </c>
      <c r="M7" s="30">
        <v>9830353213</v>
      </c>
      <c r="N7" s="19" t="s">
        <v>395</v>
      </c>
      <c r="O7" s="16"/>
      <c r="P7" s="19"/>
      <c r="Q7" s="24">
        <v>46310</v>
      </c>
      <c r="U7" s="5" t="s">
        <v>824</v>
      </c>
      <c r="V7" s="5" t="s">
        <v>814</v>
      </c>
    </row>
    <row r="8" spans="1:22" ht="18.75" customHeight="1" x14ac:dyDescent="0.25">
      <c r="A8" s="16">
        <f t="shared" ca="1" si="1"/>
        <v>5</v>
      </c>
      <c r="B8" s="71" t="b">
        <v>0</v>
      </c>
      <c r="C8" s="21" t="s">
        <v>870</v>
      </c>
      <c r="D8" s="59">
        <v>275</v>
      </c>
      <c r="E8" s="26">
        <v>45207</v>
      </c>
      <c r="F8" s="27" t="s">
        <v>6</v>
      </c>
      <c r="G8" s="28" t="s">
        <v>273</v>
      </c>
      <c r="H8" s="29">
        <v>45946</v>
      </c>
      <c r="I8" s="21" t="s">
        <v>826</v>
      </c>
      <c r="J8" s="21" t="s">
        <v>278</v>
      </c>
      <c r="K8" s="23">
        <f t="shared" si="0"/>
        <v>46311</v>
      </c>
      <c r="L8" s="21" t="s">
        <v>309</v>
      </c>
      <c r="M8" s="30" t="s">
        <v>309</v>
      </c>
      <c r="N8" s="19" t="s">
        <v>389</v>
      </c>
      <c r="O8" s="16"/>
      <c r="P8" s="19"/>
      <c r="Q8" s="24">
        <v>46310</v>
      </c>
      <c r="U8" s="5" t="s">
        <v>825</v>
      </c>
    </row>
    <row r="9" spans="1:22" ht="18.75" customHeight="1" x14ac:dyDescent="0.25">
      <c r="A9" s="16">
        <f t="shared" ca="1" si="1"/>
        <v>5</v>
      </c>
      <c r="B9" s="71" t="b">
        <v>0</v>
      </c>
      <c r="C9" s="21" t="s">
        <v>871</v>
      </c>
      <c r="D9" s="59">
        <v>750</v>
      </c>
      <c r="E9" s="26" t="s">
        <v>390</v>
      </c>
      <c r="F9" s="27" t="s">
        <v>6</v>
      </c>
      <c r="G9" s="28" t="s">
        <v>273</v>
      </c>
      <c r="H9" s="29">
        <v>45946</v>
      </c>
      <c r="I9" s="21" t="s">
        <v>826</v>
      </c>
      <c r="J9" s="21" t="s">
        <v>278</v>
      </c>
      <c r="K9" s="23">
        <f t="shared" si="0"/>
        <v>46311</v>
      </c>
      <c r="L9" s="21" t="s">
        <v>309</v>
      </c>
      <c r="M9" s="30" t="s">
        <v>309</v>
      </c>
      <c r="N9" s="19" t="s">
        <v>391</v>
      </c>
      <c r="O9" s="16"/>
      <c r="P9" s="19"/>
      <c r="Q9" s="24">
        <v>46310</v>
      </c>
      <c r="U9" s="5" t="s">
        <v>826</v>
      </c>
    </row>
    <row r="10" spans="1:22" ht="18.75" customHeight="1" x14ac:dyDescent="0.25">
      <c r="A10" s="16">
        <f t="shared" ca="1" si="1"/>
        <v>5</v>
      </c>
      <c r="B10" s="71" t="b">
        <v>0</v>
      </c>
      <c r="C10" s="21" t="s">
        <v>79</v>
      </c>
      <c r="D10" s="59">
        <v>250</v>
      </c>
      <c r="E10" s="26" t="s">
        <v>392</v>
      </c>
      <c r="F10" s="27" t="s">
        <v>6</v>
      </c>
      <c r="G10" s="28" t="s">
        <v>273</v>
      </c>
      <c r="H10" s="29">
        <v>45946</v>
      </c>
      <c r="I10" s="21" t="s">
        <v>828</v>
      </c>
      <c r="J10" s="21"/>
      <c r="K10" s="23">
        <f t="shared" si="0"/>
        <v>46311</v>
      </c>
      <c r="L10" s="21" t="s">
        <v>393</v>
      </c>
      <c r="M10" s="30">
        <v>9892984465</v>
      </c>
      <c r="N10" s="19" t="s">
        <v>872</v>
      </c>
      <c r="O10" s="16"/>
      <c r="P10" s="19"/>
      <c r="Q10" s="24">
        <v>46310</v>
      </c>
      <c r="U10" s="5" t="s">
        <v>827</v>
      </c>
    </row>
    <row r="11" spans="1:22" ht="18.75" customHeight="1" x14ac:dyDescent="0.3">
      <c r="A11" s="16" t="str">
        <f t="shared" si="1"/>
        <v/>
      </c>
      <c r="B11" s="71" t="b">
        <v>0</v>
      </c>
      <c r="C11" s="21" t="s">
        <v>76</v>
      </c>
      <c r="D11" s="40">
        <v>166</v>
      </c>
      <c r="E11" s="26">
        <v>44257</v>
      </c>
      <c r="F11" s="33" t="s">
        <v>29</v>
      </c>
      <c r="G11" s="28" t="s">
        <v>273</v>
      </c>
      <c r="H11" s="29">
        <v>45946</v>
      </c>
      <c r="I11" s="21" t="s">
        <v>274</v>
      </c>
      <c r="J11" s="21"/>
      <c r="K11" s="23">
        <f t="shared" si="0"/>
        <v>46311</v>
      </c>
      <c r="L11" s="21" t="s">
        <v>396</v>
      </c>
      <c r="M11" s="30">
        <v>9920769591</v>
      </c>
      <c r="N11" s="19" t="s">
        <v>395</v>
      </c>
      <c r="O11" s="16"/>
      <c r="P11" s="19"/>
      <c r="Q11" s="24"/>
      <c r="R11" t="s">
        <v>890</v>
      </c>
      <c r="U11" s="5" t="s">
        <v>828</v>
      </c>
    </row>
    <row r="12" spans="1:22" ht="18.75" customHeight="1" x14ac:dyDescent="0.3">
      <c r="A12" s="16" t="str">
        <f t="shared" si="1"/>
        <v/>
      </c>
      <c r="B12" s="71" t="b">
        <v>0</v>
      </c>
      <c r="C12" s="21" t="s">
        <v>80</v>
      </c>
      <c r="D12" s="40">
        <v>6</v>
      </c>
      <c r="E12" s="26">
        <v>43963</v>
      </c>
      <c r="F12" s="33" t="s">
        <v>29</v>
      </c>
      <c r="G12" s="28" t="s">
        <v>273</v>
      </c>
      <c r="H12" s="29">
        <v>45946</v>
      </c>
      <c r="I12" s="21" t="s">
        <v>829</v>
      </c>
      <c r="J12" s="21"/>
      <c r="K12" s="23">
        <f t="shared" si="0"/>
        <v>46311</v>
      </c>
      <c r="L12" s="21" t="s">
        <v>347</v>
      </c>
      <c r="M12" s="30"/>
      <c r="N12" s="19" t="s">
        <v>397</v>
      </c>
      <c r="O12" s="16"/>
      <c r="P12" s="19"/>
      <c r="Q12" s="24"/>
      <c r="R12" t="s">
        <v>890</v>
      </c>
      <c r="U12" s="5" t="s">
        <v>829</v>
      </c>
    </row>
    <row r="13" spans="1:22" ht="18.75" customHeight="1" x14ac:dyDescent="0.3">
      <c r="A13" s="16" t="str">
        <f t="shared" si="1"/>
        <v/>
      </c>
      <c r="B13" s="71" t="b">
        <v>0</v>
      </c>
      <c r="C13" s="21" t="s">
        <v>81</v>
      </c>
      <c r="D13" s="47">
        <v>64.7</v>
      </c>
      <c r="E13" s="48">
        <v>45318</v>
      </c>
      <c r="F13" s="33" t="s">
        <v>65</v>
      </c>
      <c r="G13" s="21" t="s">
        <v>298</v>
      </c>
      <c r="H13" s="29">
        <v>45947</v>
      </c>
      <c r="I13" s="21" t="s">
        <v>821</v>
      </c>
      <c r="J13" s="21" t="s">
        <v>278</v>
      </c>
      <c r="K13" s="23">
        <f t="shared" si="0"/>
        <v>46312</v>
      </c>
      <c r="L13" s="21" t="s">
        <v>400</v>
      </c>
      <c r="M13" s="30">
        <v>8340714369</v>
      </c>
      <c r="N13" s="19" t="s">
        <v>401</v>
      </c>
      <c r="O13" s="16"/>
      <c r="P13" s="19"/>
      <c r="Q13" s="24"/>
      <c r="R13" t="s">
        <v>890</v>
      </c>
      <c r="U13" s="5" t="s">
        <v>830</v>
      </c>
    </row>
    <row r="14" spans="1:22" ht="18.75" customHeight="1" x14ac:dyDescent="0.3">
      <c r="A14" s="16" t="str">
        <f t="shared" si="1"/>
        <v/>
      </c>
      <c r="B14" s="71" t="b">
        <v>0</v>
      </c>
      <c r="C14" s="21" t="s">
        <v>82</v>
      </c>
      <c r="D14" s="47">
        <v>14.91</v>
      </c>
      <c r="E14" s="48">
        <v>45349</v>
      </c>
      <c r="F14" s="33" t="s">
        <v>65</v>
      </c>
      <c r="G14" s="21" t="s">
        <v>298</v>
      </c>
      <c r="H14" s="29">
        <v>45947</v>
      </c>
      <c r="I14" s="21" t="s">
        <v>821</v>
      </c>
      <c r="J14" s="21"/>
      <c r="K14" s="23">
        <f t="shared" si="0"/>
        <v>46312</v>
      </c>
      <c r="L14" s="21" t="s">
        <v>402</v>
      </c>
      <c r="M14" s="30">
        <v>9199307777</v>
      </c>
      <c r="N14" s="19" t="s">
        <v>403</v>
      </c>
      <c r="O14" s="16"/>
      <c r="P14" s="19"/>
      <c r="Q14" s="24"/>
      <c r="R14" t="s">
        <v>890</v>
      </c>
      <c r="U14" s="5" t="s">
        <v>274</v>
      </c>
    </row>
    <row r="15" spans="1:22" ht="18.75" customHeight="1" x14ac:dyDescent="0.3">
      <c r="A15" s="16" t="str">
        <f t="shared" si="1"/>
        <v/>
      </c>
      <c r="B15" s="71" t="b">
        <v>0</v>
      </c>
      <c r="C15" s="21" t="s">
        <v>83</v>
      </c>
      <c r="D15" s="58"/>
      <c r="E15" s="16"/>
      <c r="F15" s="21" t="s">
        <v>84</v>
      </c>
      <c r="G15" s="21" t="s">
        <v>294</v>
      </c>
      <c r="H15" s="29">
        <v>45947</v>
      </c>
      <c r="I15" s="21" t="s">
        <v>825</v>
      </c>
      <c r="J15" s="21" t="s">
        <v>278</v>
      </c>
      <c r="K15" s="23">
        <f t="shared" si="0"/>
        <v>46312</v>
      </c>
      <c r="L15" s="21" t="s">
        <v>398</v>
      </c>
      <c r="M15" s="30"/>
      <c r="N15" s="19" t="s">
        <v>399</v>
      </c>
      <c r="O15" s="16"/>
      <c r="P15" s="19"/>
      <c r="Q15" s="24"/>
      <c r="R15" t="s">
        <v>890</v>
      </c>
      <c r="U15" s="5" t="s">
        <v>814</v>
      </c>
    </row>
    <row r="16" spans="1:22" ht="18.75" customHeight="1" x14ac:dyDescent="0.3">
      <c r="A16" s="16" t="str">
        <f t="shared" si="1"/>
        <v/>
      </c>
      <c r="B16" s="71" t="b">
        <v>0</v>
      </c>
      <c r="C16" s="33" t="s">
        <v>85</v>
      </c>
      <c r="D16" s="40">
        <v>99.78</v>
      </c>
      <c r="E16" s="50">
        <v>45953</v>
      </c>
      <c r="F16" s="51" t="s">
        <v>86</v>
      </c>
      <c r="G16" s="21" t="s">
        <v>273</v>
      </c>
      <c r="H16" s="29">
        <v>45953</v>
      </c>
      <c r="I16" s="21" t="s">
        <v>820</v>
      </c>
      <c r="J16" s="21"/>
      <c r="K16" s="23">
        <f t="shared" si="0"/>
        <v>46318</v>
      </c>
      <c r="L16" s="21"/>
      <c r="M16" s="30"/>
      <c r="N16" s="19" t="s">
        <v>404</v>
      </c>
      <c r="O16" s="16"/>
      <c r="P16" s="19"/>
      <c r="Q16" s="24"/>
      <c r="R16" t="s">
        <v>890</v>
      </c>
    </row>
    <row r="17" spans="1:18" ht="18.75" customHeight="1" x14ac:dyDescent="0.3">
      <c r="A17" s="16" t="str">
        <f t="shared" si="1"/>
        <v/>
      </c>
      <c r="B17" s="71" t="b">
        <v>0</v>
      </c>
      <c r="C17" s="21" t="s">
        <v>87</v>
      </c>
      <c r="D17" s="59">
        <v>960</v>
      </c>
      <c r="E17" s="26">
        <v>44992</v>
      </c>
      <c r="F17" s="27" t="s">
        <v>6</v>
      </c>
      <c r="G17" s="28" t="s">
        <v>273</v>
      </c>
      <c r="H17" s="29">
        <v>45957</v>
      </c>
      <c r="I17" s="21" t="s">
        <v>274</v>
      </c>
      <c r="J17" s="21" t="s">
        <v>274</v>
      </c>
      <c r="K17" s="23">
        <f t="shared" si="0"/>
        <v>46322</v>
      </c>
      <c r="L17" s="21" t="s">
        <v>349</v>
      </c>
      <c r="M17" s="30"/>
      <c r="N17" s="19" t="s">
        <v>405</v>
      </c>
      <c r="O17" s="16"/>
      <c r="P17" s="19"/>
      <c r="Q17" s="24"/>
      <c r="R17" t="s">
        <v>890</v>
      </c>
    </row>
    <row r="18" spans="1:18" ht="18.75" customHeight="1" x14ac:dyDescent="0.3">
      <c r="A18" s="16" t="str">
        <f t="shared" si="1"/>
        <v/>
      </c>
      <c r="B18" s="71" t="b">
        <v>0</v>
      </c>
      <c r="C18" s="21" t="s">
        <v>88</v>
      </c>
      <c r="D18" s="59">
        <v>37</v>
      </c>
      <c r="E18" s="26" t="s">
        <v>406</v>
      </c>
      <c r="F18" s="27" t="s">
        <v>6</v>
      </c>
      <c r="G18" s="28" t="s">
        <v>273</v>
      </c>
      <c r="H18" s="29">
        <v>45957</v>
      </c>
      <c r="I18" s="21" t="s">
        <v>820</v>
      </c>
      <c r="J18" s="21"/>
      <c r="K18" s="23">
        <f t="shared" si="0"/>
        <v>46322</v>
      </c>
      <c r="L18" s="21"/>
      <c r="M18" s="30"/>
      <c r="N18" s="19" t="s">
        <v>407</v>
      </c>
      <c r="O18" s="16"/>
      <c r="P18" s="19"/>
      <c r="Q18" s="24"/>
      <c r="R18" t="s">
        <v>890</v>
      </c>
    </row>
    <row r="19" spans="1:18" ht="18.75" customHeight="1" x14ac:dyDescent="0.3">
      <c r="A19" s="16" t="str">
        <f t="shared" si="1"/>
        <v/>
      </c>
      <c r="B19" s="71" t="b">
        <v>0</v>
      </c>
      <c r="C19" s="21" t="s">
        <v>89</v>
      </c>
      <c r="D19" s="58"/>
      <c r="E19" s="16"/>
      <c r="F19" s="21" t="s">
        <v>43</v>
      </c>
      <c r="G19" s="21" t="s">
        <v>294</v>
      </c>
      <c r="H19" s="29">
        <v>45958</v>
      </c>
      <c r="I19" s="21" t="s">
        <v>827</v>
      </c>
      <c r="J19" s="21"/>
      <c r="K19" s="23">
        <f t="shared" si="0"/>
        <v>46323</v>
      </c>
      <c r="L19" s="21" t="s">
        <v>408</v>
      </c>
      <c r="M19" s="30"/>
      <c r="N19" s="19" t="s">
        <v>409</v>
      </c>
      <c r="O19" s="16"/>
      <c r="P19" s="19"/>
      <c r="Q19" s="24"/>
      <c r="R19" t="s">
        <v>890</v>
      </c>
    </row>
    <row r="20" spans="1:18" ht="18.75" customHeight="1" x14ac:dyDescent="0.3">
      <c r="A20" s="16" t="str">
        <f t="shared" si="1"/>
        <v/>
      </c>
      <c r="B20" s="71" t="b">
        <v>0</v>
      </c>
      <c r="C20" s="21" t="s">
        <v>90</v>
      </c>
      <c r="D20" s="56">
        <v>550.04999999999995</v>
      </c>
      <c r="E20" s="26">
        <v>44315</v>
      </c>
      <c r="F20" s="28" t="s">
        <v>36</v>
      </c>
      <c r="G20" s="28" t="s">
        <v>273</v>
      </c>
      <c r="H20" s="29">
        <v>45959</v>
      </c>
      <c r="I20" s="21" t="s">
        <v>830</v>
      </c>
      <c r="J20" s="21"/>
      <c r="K20" s="23">
        <f t="shared" si="0"/>
        <v>46324</v>
      </c>
      <c r="L20" s="21" t="s">
        <v>357</v>
      </c>
      <c r="M20" s="30"/>
      <c r="N20" s="19" t="s">
        <v>414</v>
      </c>
      <c r="O20" s="16"/>
      <c r="P20" s="19"/>
      <c r="Q20" s="24"/>
      <c r="R20" t="s">
        <v>890</v>
      </c>
    </row>
    <row r="21" spans="1:18" ht="18.75" customHeight="1" x14ac:dyDescent="0.3">
      <c r="A21" s="16" t="str">
        <f t="shared" si="1"/>
        <v/>
      </c>
      <c r="B21" s="71" t="b">
        <v>0</v>
      </c>
      <c r="C21" s="21" t="s">
        <v>91</v>
      </c>
      <c r="D21" s="56">
        <v>588.75</v>
      </c>
      <c r="E21" s="26">
        <v>44315</v>
      </c>
      <c r="F21" s="28" t="s">
        <v>36</v>
      </c>
      <c r="G21" s="28" t="s">
        <v>273</v>
      </c>
      <c r="H21" s="29">
        <v>45959</v>
      </c>
      <c r="I21" s="21" t="s">
        <v>830</v>
      </c>
      <c r="J21" s="21"/>
      <c r="K21" s="23">
        <f t="shared" si="0"/>
        <v>46324</v>
      </c>
      <c r="L21" s="21" t="s">
        <v>415</v>
      </c>
      <c r="M21" s="30"/>
      <c r="N21" s="19" t="s">
        <v>414</v>
      </c>
      <c r="O21" s="52"/>
      <c r="P21" s="19"/>
      <c r="Q21" s="24"/>
      <c r="R21" t="s">
        <v>890</v>
      </c>
    </row>
    <row r="22" spans="1:18" ht="18.75" customHeight="1" x14ac:dyDescent="0.3">
      <c r="A22" s="16" t="str">
        <f t="shared" si="1"/>
        <v/>
      </c>
      <c r="B22" s="71" t="b">
        <v>0</v>
      </c>
      <c r="C22" s="21" t="s">
        <v>92</v>
      </c>
      <c r="D22" s="56">
        <v>646.92999999999995</v>
      </c>
      <c r="E22" s="26">
        <v>44315</v>
      </c>
      <c r="F22" s="28" t="s">
        <v>36</v>
      </c>
      <c r="G22" s="28" t="s">
        <v>273</v>
      </c>
      <c r="H22" s="29">
        <v>45959</v>
      </c>
      <c r="I22" s="21" t="s">
        <v>830</v>
      </c>
      <c r="J22" s="21"/>
      <c r="K22" s="23">
        <f t="shared" si="0"/>
        <v>46324</v>
      </c>
      <c r="L22" s="21" t="s">
        <v>416</v>
      </c>
      <c r="M22" s="30">
        <v>9008779952</v>
      </c>
      <c r="N22" s="19" t="s">
        <v>414</v>
      </c>
      <c r="O22" s="16"/>
      <c r="P22" s="19"/>
      <c r="Q22" s="24"/>
      <c r="R22" t="s">
        <v>890</v>
      </c>
    </row>
    <row r="23" spans="1:18" ht="18.75" customHeight="1" x14ac:dyDescent="0.3">
      <c r="A23" s="16" t="str">
        <f t="shared" si="1"/>
        <v/>
      </c>
      <c r="B23" s="71" t="b">
        <v>0</v>
      </c>
      <c r="C23" s="21" t="s">
        <v>93</v>
      </c>
      <c r="D23" s="35">
        <v>111</v>
      </c>
      <c r="E23" s="36">
        <v>45511</v>
      </c>
      <c r="F23" s="37" t="s">
        <v>19</v>
      </c>
      <c r="G23" s="21" t="s">
        <v>298</v>
      </c>
      <c r="H23" s="29">
        <v>45959</v>
      </c>
      <c r="I23" s="21" t="s">
        <v>274</v>
      </c>
      <c r="J23" s="21" t="s">
        <v>274</v>
      </c>
      <c r="K23" s="23">
        <f t="shared" si="0"/>
        <v>46324</v>
      </c>
      <c r="L23" s="21" t="s">
        <v>410</v>
      </c>
      <c r="M23" s="30">
        <v>9823428798</v>
      </c>
      <c r="N23" s="19" t="s">
        <v>411</v>
      </c>
      <c r="O23" s="16"/>
      <c r="P23" s="19"/>
      <c r="Q23" s="24"/>
      <c r="R23" t="s">
        <v>890</v>
      </c>
    </row>
    <row r="24" spans="1:18" ht="18.75" customHeight="1" x14ac:dyDescent="0.3">
      <c r="A24" s="16" t="str">
        <f t="shared" si="1"/>
        <v/>
      </c>
      <c r="B24" s="71" t="b">
        <v>0</v>
      </c>
      <c r="C24" s="21" t="s">
        <v>94</v>
      </c>
      <c r="D24" s="58"/>
      <c r="E24" s="16"/>
      <c r="F24" s="21" t="s">
        <v>58</v>
      </c>
      <c r="G24" s="21" t="s">
        <v>294</v>
      </c>
      <c r="H24" s="29">
        <v>45959</v>
      </c>
      <c r="I24" s="21" t="s">
        <v>826</v>
      </c>
      <c r="J24" s="21" t="s">
        <v>278</v>
      </c>
      <c r="K24" s="23">
        <f t="shared" si="0"/>
        <v>46324</v>
      </c>
      <c r="L24" s="21" t="s">
        <v>412</v>
      </c>
      <c r="M24" s="30"/>
      <c r="N24" s="19" t="s">
        <v>413</v>
      </c>
      <c r="O24" s="16"/>
      <c r="P24" s="19"/>
      <c r="Q24" s="24"/>
      <c r="R24" t="s">
        <v>890</v>
      </c>
    </row>
    <row r="25" spans="1:18" ht="18.75" customHeight="1" x14ac:dyDescent="0.3">
      <c r="A25" s="16" t="str">
        <f t="shared" si="1"/>
        <v/>
      </c>
      <c r="B25" s="71" t="b">
        <v>0</v>
      </c>
      <c r="C25" s="21" t="s">
        <v>95</v>
      </c>
      <c r="D25" s="40">
        <v>19.89</v>
      </c>
      <c r="E25" s="26">
        <v>44207</v>
      </c>
      <c r="F25" s="33" t="s">
        <v>96</v>
      </c>
      <c r="G25" s="28" t="s">
        <v>273</v>
      </c>
      <c r="H25" s="29">
        <v>45960</v>
      </c>
      <c r="I25" s="21" t="s">
        <v>827</v>
      </c>
      <c r="J25" s="21"/>
      <c r="K25" s="23">
        <f t="shared" si="0"/>
        <v>46325</v>
      </c>
      <c r="L25" s="21" t="s">
        <v>417</v>
      </c>
      <c r="M25" s="30">
        <v>9819002025</v>
      </c>
      <c r="N25" s="19" t="s">
        <v>418</v>
      </c>
      <c r="O25" s="16"/>
      <c r="P25" s="19"/>
      <c r="Q25" s="24"/>
      <c r="R25" t="s">
        <v>890</v>
      </c>
    </row>
    <row r="26" spans="1:18" ht="18.75" customHeight="1" x14ac:dyDescent="0.3">
      <c r="A26" s="16" t="str">
        <f t="shared" si="1"/>
        <v/>
      </c>
      <c r="B26" s="71" t="b">
        <v>0</v>
      </c>
      <c r="C26" s="21" t="s">
        <v>97</v>
      </c>
      <c r="D26" s="40">
        <v>120</v>
      </c>
      <c r="E26" s="26">
        <v>45134</v>
      </c>
      <c r="F26" s="33" t="s">
        <v>96</v>
      </c>
      <c r="G26" s="28" t="s">
        <v>273</v>
      </c>
      <c r="H26" s="29">
        <v>45960</v>
      </c>
      <c r="I26" s="21" t="s">
        <v>825</v>
      </c>
      <c r="J26" s="21" t="s">
        <v>278</v>
      </c>
      <c r="K26" s="23">
        <f t="shared" si="0"/>
        <v>46325</v>
      </c>
      <c r="L26" s="21" t="s">
        <v>419</v>
      </c>
      <c r="M26" s="30">
        <v>9677714382</v>
      </c>
      <c r="N26" s="19" t="s">
        <v>318</v>
      </c>
      <c r="O26" s="16"/>
      <c r="P26" s="19"/>
      <c r="Q26" s="24"/>
      <c r="R26" t="s">
        <v>890</v>
      </c>
    </row>
    <row r="27" spans="1:18" ht="18.75" customHeight="1" x14ac:dyDescent="0.3">
      <c r="A27" s="16" t="str">
        <f t="shared" si="1"/>
        <v/>
      </c>
      <c r="B27" s="71" t="b">
        <v>0</v>
      </c>
      <c r="C27" s="21" t="s">
        <v>98</v>
      </c>
      <c r="D27" s="40">
        <v>130</v>
      </c>
      <c r="E27" s="26">
        <v>44725</v>
      </c>
      <c r="F27" s="33" t="s">
        <v>29</v>
      </c>
      <c r="G27" s="28" t="s">
        <v>273</v>
      </c>
      <c r="H27" s="29">
        <v>45961</v>
      </c>
      <c r="I27" s="21" t="s">
        <v>825</v>
      </c>
      <c r="J27" s="21" t="s">
        <v>278</v>
      </c>
      <c r="K27" s="23">
        <f t="shared" si="0"/>
        <v>46326</v>
      </c>
      <c r="L27" s="21" t="s">
        <v>423</v>
      </c>
      <c r="M27" s="30">
        <v>9380528473</v>
      </c>
      <c r="N27" s="19" t="s">
        <v>424</v>
      </c>
      <c r="O27" s="16"/>
      <c r="P27" s="19"/>
      <c r="Q27" s="24"/>
      <c r="R27" t="s">
        <v>890</v>
      </c>
    </row>
    <row r="28" spans="1:18" ht="18.75" customHeight="1" x14ac:dyDescent="0.3">
      <c r="A28" s="16" t="str">
        <f t="shared" si="1"/>
        <v/>
      </c>
      <c r="B28" s="71" t="b">
        <v>0</v>
      </c>
      <c r="C28" s="21" t="s">
        <v>99</v>
      </c>
      <c r="D28" s="58">
        <v>229.65</v>
      </c>
      <c r="E28" s="24">
        <v>45552</v>
      </c>
      <c r="F28" s="21" t="s">
        <v>100</v>
      </c>
      <c r="G28" s="21" t="s">
        <v>298</v>
      </c>
      <c r="H28" s="22">
        <v>45961</v>
      </c>
      <c r="I28" s="21" t="s">
        <v>825</v>
      </c>
      <c r="J28" s="21" t="s">
        <v>278</v>
      </c>
      <c r="K28" s="23">
        <f t="shared" si="0"/>
        <v>46326</v>
      </c>
      <c r="L28" s="21" t="s">
        <v>421</v>
      </c>
      <c r="M28" s="30">
        <v>9011067113</v>
      </c>
      <c r="N28" s="19" t="s">
        <v>422</v>
      </c>
      <c r="O28" s="16"/>
      <c r="P28" s="19"/>
      <c r="Q28" s="24"/>
      <c r="R28" t="s">
        <v>890</v>
      </c>
    </row>
    <row r="29" spans="1:18" ht="18.75" customHeight="1" x14ac:dyDescent="0.3">
      <c r="A29" s="16" t="str">
        <f t="shared" si="1"/>
        <v/>
      </c>
      <c r="B29" s="71" t="b">
        <v>0</v>
      </c>
      <c r="C29" s="21" t="s">
        <v>101</v>
      </c>
      <c r="D29" s="59">
        <v>400</v>
      </c>
      <c r="E29" s="26">
        <v>45430</v>
      </c>
      <c r="F29" s="27" t="s">
        <v>15</v>
      </c>
      <c r="G29" s="27" t="s">
        <v>296</v>
      </c>
      <c r="H29" s="29">
        <v>45964</v>
      </c>
      <c r="I29" s="21" t="s">
        <v>821</v>
      </c>
      <c r="J29" s="21" t="s">
        <v>278</v>
      </c>
      <c r="K29" s="23">
        <f t="shared" si="0"/>
        <v>46329</v>
      </c>
      <c r="L29" s="21" t="s">
        <v>307</v>
      </c>
      <c r="M29" s="30">
        <v>9966969669</v>
      </c>
      <c r="N29" s="19" t="s">
        <v>426</v>
      </c>
      <c r="O29" s="16"/>
      <c r="P29" s="19"/>
      <c r="Q29" s="24"/>
      <c r="R29" t="s">
        <v>890</v>
      </c>
    </row>
    <row r="30" spans="1:18" ht="18.75" customHeight="1" x14ac:dyDescent="0.3">
      <c r="A30" s="16" t="str">
        <f t="shared" si="1"/>
        <v/>
      </c>
      <c r="B30" s="71" t="b">
        <v>0</v>
      </c>
      <c r="C30" s="21" t="s">
        <v>102</v>
      </c>
      <c r="D30" s="56">
        <v>469.77</v>
      </c>
      <c r="E30" s="26">
        <v>44315</v>
      </c>
      <c r="F30" s="28" t="s">
        <v>36</v>
      </c>
      <c r="G30" s="28" t="s">
        <v>273</v>
      </c>
      <c r="H30" s="29">
        <v>45964</v>
      </c>
      <c r="I30" s="21" t="s">
        <v>830</v>
      </c>
      <c r="J30" s="21"/>
      <c r="K30" s="23">
        <f t="shared" si="0"/>
        <v>46329</v>
      </c>
      <c r="L30" s="21" t="s">
        <v>427</v>
      </c>
      <c r="M30" s="30">
        <v>9646526666</v>
      </c>
      <c r="N30" s="19" t="s">
        <v>414</v>
      </c>
      <c r="O30" s="16"/>
      <c r="P30" s="19"/>
      <c r="Q30" s="24"/>
      <c r="R30" t="s">
        <v>890</v>
      </c>
    </row>
    <row r="31" spans="1:18" ht="18.75" customHeight="1" x14ac:dyDescent="0.3">
      <c r="A31" s="16" t="str">
        <f t="shared" si="1"/>
        <v/>
      </c>
      <c r="B31" s="71" t="b">
        <v>0</v>
      </c>
      <c r="C31" s="21" t="s">
        <v>103</v>
      </c>
      <c r="D31" s="58"/>
      <c r="E31" s="16"/>
      <c r="F31" s="21" t="s">
        <v>13</v>
      </c>
      <c r="G31" s="21" t="s">
        <v>294</v>
      </c>
      <c r="H31" s="29">
        <v>45964</v>
      </c>
      <c r="I31" s="21" t="s">
        <v>823</v>
      </c>
      <c r="J31" s="21"/>
      <c r="K31" s="23">
        <f t="shared" si="0"/>
        <v>46329</v>
      </c>
      <c r="L31" s="21"/>
      <c r="M31" s="30"/>
      <c r="N31" s="19" t="s">
        <v>425</v>
      </c>
      <c r="O31" s="16"/>
      <c r="P31" s="19"/>
      <c r="Q31" s="24"/>
      <c r="R31" t="s">
        <v>890</v>
      </c>
    </row>
    <row r="32" spans="1:18" ht="18.75" customHeight="1" x14ac:dyDescent="0.3">
      <c r="A32" s="16" t="str">
        <f t="shared" si="1"/>
        <v/>
      </c>
      <c r="B32" s="71" t="b">
        <v>0</v>
      </c>
      <c r="C32" s="21" t="s">
        <v>104</v>
      </c>
      <c r="D32" s="56">
        <v>100</v>
      </c>
      <c r="E32" s="26" t="s">
        <v>428</v>
      </c>
      <c r="F32" s="28" t="s">
        <v>105</v>
      </c>
      <c r="G32" s="28" t="s">
        <v>298</v>
      </c>
      <c r="H32" s="29">
        <v>45965</v>
      </c>
      <c r="I32" s="21" t="s">
        <v>274</v>
      </c>
      <c r="J32" s="21" t="s">
        <v>274</v>
      </c>
      <c r="K32" s="23">
        <f t="shared" si="0"/>
        <v>46330</v>
      </c>
      <c r="L32" s="21" t="s">
        <v>429</v>
      </c>
      <c r="M32" s="30">
        <v>9810332924</v>
      </c>
      <c r="N32" s="19" t="s">
        <v>430</v>
      </c>
      <c r="O32" s="16"/>
      <c r="P32" s="19"/>
      <c r="Q32" s="24"/>
      <c r="R32" t="s">
        <v>890</v>
      </c>
    </row>
    <row r="33" spans="1:18" ht="18.75" customHeight="1" x14ac:dyDescent="0.3">
      <c r="A33" s="16" t="str">
        <f t="shared" si="1"/>
        <v/>
      </c>
      <c r="B33" s="71" t="b">
        <v>0</v>
      </c>
      <c r="C33" s="21" t="s">
        <v>106</v>
      </c>
      <c r="D33" s="56">
        <v>41.47</v>
      </c>
      <c r="E33" s="26" t="s">
        <v>431</v>
      </c>
      <c r="F33" s="28" t="s">
        <v>105</v>
      </c>
      <c r="G33" s="28" t="s">
        <v>298</v>
      </c>
      <c r="H33" s="29">
        <v>45965</v>
      </c>
      <c r="I33" s="21" t="s">
        <v>274</v>
      </c>
      <c r="J33" s="21" t="s">
        <v>274</v>
      </c>
      <c r="K33" s="23">
        <f t="shared" si="0"/>
        <v>46330</v>
      </c>
      <c r="L33" s="21" t="s">
        <v>432</v>
      </c>
      <c r="M33" s="30">
        <v>8979388899</v>
      </c>
      <c r="N33" s="19" t="s">
        <v>433</v>
      </c>
      <c r="O33" s="16"/>
      <c r="P33" s="19"/>
      <c r="Q33" s="24"/>
      <c r="R33" t="s">
        <v>890</v>
      </c>
    </row>
    <row r="34" spans="1:18" ht="18.75" customHeight="1" x14ac:dyDescent="0.3">
      <c r="A34" s="16" t="str">
        <f t="shared" si="1"/>
        <v/>
      </c>
      <c r="B34" s="71" t="b">
        <v>0</v>
      </c>
      <c r="C34" s="21" t="s">
        <v>107</v>
      </c>
      <c r="D34" s="56">
        <v>1000</v>
      </c>
      <c r="E34" s="26" t="s">
        <v>428</v>
      </c>
      <c r="F34" s="28" t="s">
        <v>105</v>
      </c>
      <c r="G34" s="28" t="s">
        <v>298</v>
      </c>
      <c r="H34" s="29">
        <v>45965</v>
      </c>
      <c r="I34" s="21" t="s">
        <v>274</v>
      </c>
      <c r="J34" s="21" t="s">
        <v>274</v>
      </c>
      <c r="K34" s="23">
        <f t="shared" si="0"/>
        <v>46330</v>
      </c>
      <c r="L34" s="21" t="s">
        <v>434</v>
      </c>
      <c r="M34" s="30">
        <v>9810332923</v>
      </c>
      <c r="N34" s="19" t="s">
        <v>430</v>
      </c>
      <c r="O34" s="16"/>
      <c r="P34" s="19"/>
      <c r="Q34" s="24"/>
      <c r="R34" t="s">
        <v>890</v>
      </c>
    </row>
    <row r="35" spans="1:18" ht="18.75" customHeight="1" x14ac:dyDescent="0.3">
      <c r="A35" s="16" t="str">
        <f t="shared" si="1"/>
        <v/>
      </c>
      <c r="B35" s="71" t="b">
        <v>0</v>
      </c>
      <c r="C35" s="21" t="s">
        <v>108</v>
      </c>
      <c r="D35" s="58"/>
      <c r="E35" s="16"/>
      <c r="F35" s="21" t="s">
        <v>61</v>
      </c>
      <c r="G35" s="21" t="s">
        <v>269</v>
      </c>
      <c r="H35" s="22">
        <v>45968</v>
      </c>
      <c r="I35" s="21" t="s">
        <v>821</v>
      </c>
      <c r="J35" s="21" t="s">
        <v>278</v>
      </c>
      <c r="K35" s="23">
        <f t="shared" si="0"/>
        <v>46333</v>
      </c>
      <c r="L35" s="21" t="s">
        <v>436</v>
      </c>
      <c r="M35" s="30">
        <v>7010804581</v>
      </c>
      <c r="N35" s="19" t="s">
        <v>437</v>
      </c>
      <c r="O35" s="16"/>
      <c r="P35" s="19"/>
      <c r="Q35" s="24"/>
      <c r="R35" t="s">
        <v>890</v>
      </c>
    </row>
    <row r="36" spans="1:18" ht="18.75" customHeight="1" x14ac:dyDescent="0.3">
      <c r="A36" s="16" t="str">
        <f t="shared" si="1"/>
        <v/>
      </c>
      <c r="B36" s="71" t="b">
        <v>0</v>
      </c>
      <c r="C36" s="21" t="s">
        <v>110</v>
      </c>
      <c r="D36" s="59">
        <v>20</v>
      </c>
      <c r="E36" s="25"/>
      <c r="F36" s="26" t="s">
        <v>96</v>
      </c>
      <c r="G36" s="27" t="s">
        <v>273</v>
      </c>
      <c r="H36" s="29">
        <v>45968</v>
      </c>
      <c r="I36" s="21" t="s">
        <v>274</v>
      </c>
      <c r="J36" s="21"/>
      <c r="K36" s="23">
        <f t="shared" si="0"/>
        <v>46333</v>
      </c>
      <c r="L36" s="74"/>
      <c r="M36" s="80"/>
      <c r="N36" s="23" t="s">
        <v>435</v>
      </c>
      <c r="O36" s="30"/>
      <c r="P36" s="30"/>
      <c r="Q36" s="53"/>
      <c r="R36" t="s">
        <v>890</v>
      </c>
    </row>
    <row r="37" spans="1:18" ht="18.75" customHeight="1" x14ac:dyDescent="0.3">
      <c r="A37" s="16" t="str">
        <f t="shared" si="1"/>
        <v/>
      </c>
      <c r="B37" s="71" t="b">
        <v>0</v>
      </c>
      <c r="C37" s="21" t="s">
        <v>109</v>
      </c>
      <c r="D37" s="35">
        <v>61.23</v>
      </c>
      <c r="E37" s="36">
        <v>45968</v>
      </c>
      <c r="F37" s="37" t="s">
        <v>19</v>
      </c>
      <c r="G37" s="21" t="s">
        <v>298</v>
      </c>
      <c r="H37" s="29">
        <v>45968</v>
      </c>
      <c r="I37" s="21" t="s">
        <v>829</v>
      </c>
      <c r="J37" s="21" t="s">
        <v>278</v>
      </c>
      <c r="K37" s="23">
        <f t="shared" si="0"/>
        <v>46333</v>
      </c>
      <c r="L37" s="21" t="s">
        <v>438</v>
      </c>
      <c r="M37" s="30">
        <v>9898638450</v>
      </c>
      <c r="N37" s="19" t="s">
        <v>439</v>
      </c>
      <c r="O37" s="16"/>
      <c r="P37" s="19"/>
      <c r="Q37" s="24"/>
      <c r="R37" t="s">
        <v>890</v>
      </c>
    </row>
    <row r="38" spans="1:18" ht="18.75" customHeight="1" x14ac:dyDescent="0.3">
      <c r="A38" s="16" t="str">
        <f t="shared" si="1"/>
        <v/>
      </c>
      <c r="B38" s="71" t="b">
        <v>0</v>
      </c>
      <c r="C38" s="21" t="s">
        <v>111</v>
      </c>
      <c r="D38" s="58">
        <v>57.76</v>
      </c>
      <c r="E38" s="24">
        <v>45971</v>
      </c>
      <c r="F38" s="21" t="s">
        <v>100</v>
      </c>
      <c r="G38" s="21" t="s">
        <v>298</v>
      </c>
      <c r="H38" s="22">
        <v>45971</v>
      </c>
      <c r="I38" s="21" t="s">
        <v>821</v>
      </c>
      <c r="J38" s="21" t="s">
        <v>278</v>
      </c>
      <c r="K38" s="23">
        <f t="shared" si="0"/>
        <v>46336</v>
      </c>
      <c r="L38" s="21" t="s">
        <v>441</v>
      </c>
      <c r="M38" s="30">
        <v>9822260643</v>
      </c>
      <c r="N38" s="19" t="s">
        <v>442</v>
      </c>
      <c r="O38" s="16"/>
      <c r="P38" s="19"/>
      <c r="Q38" s="24"/>
      <c r="R38" t="s">
        <v>890</v>
      </c>
    </row>
    <row r="39" spans="1:18" ht="18.75" customHeight="1" x14ac:dyDescent="0.3">
      <c r="A39" s="16" t="str">
        <f t="shared" si="1"/>
        <v/>
      </c>
      <c r="B39" s="71" t="b">
        <v>0</v>
      </c>
      <c r="C39" s="21" t="s">
        <v>112</v>
      </c>
      <c r="D39" s="58"/>
      <c r="E39" s="16"/>
      <c r="F39" s="21" t="s">
        <v>61</v>
      </c>
      <c r="G39" s="21" t="s">
        <v>269</v>
      </c>
      <c r="H39" s="22">
        <v>45975</v>
      </c>
      <c r="I39" s="21" t="s">
        <v>823</v>
      </c>
      <c r="J39" s="21" t="s">
        <v>278</v>
      </c>
      <c r="K39" s="23">
        <f t="shared" si="0"/>
        <v>46340</v>
      </c>
      <c r="L39" s="21" t="s">
        <v>436</v>
      </c>
      <c r="M39" s="30">
        <v>7010804580</v>
      </c>
      <c r="N39" s="19" t="s">
        <v>437</v>
      </c>
      <c r="O39" s="16"/>
      <c r="P39" s="19"/>
      <c r="Q39" s="24"/>
      <c r="R39" t="s">
        <v>890</v>
      </c>
    </row>
    <row r="40" spans="1:18" ht="18.75" customHeight="1" x14ac:dyDescent="0.3">
      <c r="A40" s="16" t="str">
        <f t="shared" si="1"/>
        <v/>
      </c>
      <c r="B40" s="71" t="b">
        <v>0</v>
      </c>
      <c r="C40" s="21" t="s">
        <v>113</v>
      </c>
      <c r="D40" s="59">
        <v>42</v>
      </c>
      <c r="E40" s="26">
        <v>45975</v>
      </c>
      <c r="F40" s="27" t="s">
        <v>114</v>
      </c>
      <c r="G40" s="27" t="s">
        <v>296</v>
      </c>
      <c r="H40" s="29">
        <v>45975</v>
      </c>
      <c r="I40" s="21" t="s">
        <v>823</v>
      </c>
      <c r="J40" s="21"/>
      <c r="K40" s="23">
        <f t="shared" si="0"/>
        <v>46340</v>
      </c>
      <c r="L40" s="21" t="s">
        <v>443</v>
      </c>
      <c r="M40" s="30">
        <v>9537936809</v>
      </c>
      <c r="N40" s="19" t="s">
        <v>444</v>
      </c>
      <c r="O40" s="16"/>
      <c r="P40" s="19"/>
      <c r="Q40" s="24"/>
      <c r="R40" t="s">
        <v>890</v>
      </c>
    </row>
    <row r="41" spans="1:18" ht="18.75" customHeight="1" x14ac:dyDescent="0.3">
      <c r="A41" s="16" t="str">
        <f t="shared" si="1"/>
        <v/>
      </c>
      <c r="B41" s="71" t="b">
        <v>0</v>
      </c>
      <c r="C41" s="21" t="s">
        <v>115</v>
      </c>
      <c r="D41" s="35">
        <v>91.35</v>
      </c>
      <c r="E41" s="36">
        <v>45975</v>
      </c>
      <c r="F41" s="37" t="s">
        <v>19</v>
      </c>
      <c r="G41" s="21" t="s">
        <v>298</v>
      </c>
      <c r="H41" s="29">
        <v>45975</v>
      </c>
      <c r="I41" s="21" t="s">
        <v>820</v>
      </c>
      <c r="J41" s="21" t="s">
        <v>272</v>
      </c>
      <c r="K41" s="23">
        <f t="shared" si="0"/>
        <v>46340</v>
      </c>
      <c r="L41" s="21" t="s">
        <v>445</v>
      </c>
      <c r="M41" s="30">
        <v>9764134054</v>
      </c>
      <c r="N41" s="19" t="s">
        <v>446</v>
      </c>
      <c r="O41" s="16"/>
      <c r="P41" s="19"/>
      <c r="Q41" s="24"/>
      <c r="R41" t="s">
        <v>890</v>
      </c>
    </row>
    <row r="42" spans="1:18" ht="18.75" customHeight="1" x14ac:dyDescent="0.3">
      <c r="A42" s="16" t="str">
        <f t="shared" si="1"/>
        <v/>
      </c>
      <c r="B42" s="71" t="b">
        <v>0</v>
      </c>
      <c r="C42" s="21" t="s">
        <v>116</v>
      </c>
      <c r="D42" s="58"/>
      <c r="E42" s="16"/>
      <c r="F42" s="21" t="s">
        <v>58</v>
      </c>
      <c r="G42" s="21" t="s">
        <v>294</v>
      </c>
      <c r="H42" s="29">
        <v>45978</v>
      </c>
      <c r="I42" s="21" t="s">
        <v>274</v>
      </c>
      <c r="J42" s="21"/>
      <c r="K42" s="23">
        <f t="shared" si="0"/>
        <v>46343</v>
      </c>
      <c r="L42" s="21" t="s">
        <v>447</v>
      </c>
      <c r="M42" s="30"/>
      <c r="N42" s="19" t="s">
        <v>448</v>
      </c>
      <c r="O42" s="16"/>
      <c r="P42" s="19"/>
      <c r="Q42" s="24"/>
      <c r="R42" t="s">
        <v>890</v>
      </c>
    </row>
    <row r="43" spans="1:18" ht="18.75" customHeight="1" x14ac:dyDescent="0.3">
      <c r="A43" s="16" t="str">
        <f t="shared" si="1"/>
        <v/>
      </c>
      <c r="B43" s="71" t="b">
        <v>0</v>
      </c>
      <c r="C43" s="21" t="s">
        <v>117</v>
      </c>
      <c r="D43" s="58"/>
      <c r="E43" s="16"/>
      <c r="F43" s="21" t="s">
        <v>51</v>
      </c>
      <c r="G43" s="21" t="s">
        <v>269</v>
      </c>
      <c r="H43" s="22">
        <v>45979</v>
      </c>
      <c r="I43" s="21" t="s">
        <v>274</v>
      </c>
      <c r="J43" s="21"/>
      <c r="K43" s="23">
        <f t="shared" si="0"/>
        <v>46344</v>
      </c>
      <c r="L43" s="21" t="s">
        <v>449</v>
      </c>
      <c r="M43" s="30">
        <v>9179018884</v>
      </c>
      <c r="N43" s="19" t="s">
        <v>450</v>
      </c>
      <c r="O43" s="16"/>
      <c r="P43" s="19"/>
      <c r="Q43" s="24"/>
      <c r="R43" t="s">
        <v>890</v>
      </c>
    </row>
    <row r="44" spans="1:18" ht="18.75" customHeight="1" x14ac:dyDescent="0.3">
      <c r="A44" s="16" t="str">
        <f t="shared" si="1"/>
        <v/>
      </c>
      <c r="B44" s="71" t="b">
        <v>0</v>
      </c>
      <c r="C44" s="21" t="s">
        <v>118</v>
      </c>
      <c r="D44" s="59">
        <v>25</v>
      </c>
      <c r="E44" s="26">
        <v>43836</v>
      </c>
      <c r="F44" s="27" t="s">
        <v>6</v>
      </c>
      <c r="G44" s="28" t="s">
        <v>273</v>
      </c>
      <c r="H44" s="29">
        <v>45981</v>
      </c>
      <c r="I44" s="21" t="s">
        <v>828</v>
      </c>
      <c r="J44" s="21" t="s">
        <v>272</v>
      </c>
      <c r="K44" s="23">
        <f t="shared" si="0"/>
        <v>46346</v>
      </c>
      <c r="L44" s="21" t="s">
        <v>279</v>
      </c>
      <c r="M44" s="30">
        <v>9689747079</v>
      </c>
      <c r="N44" s="19" t="s">
        <v>451</v>
      </c>
      <c r="O44" s="16"/>
      <c r="P44" s="19"/>
      <c r="Q44" s="24"/>
      <c r="R44" t="s">
        <v>890</v>
      </c>
    </row>
    <row r="45" spans="1:18" ht="18.75" customHeight="1" x14ac:dyDescent="0.3">
      <c r="A45" s="16" t="str">
        <f t="shared" si="1"/>
        <v/>
      </c>
      <c r="B45" s="71" t="b">
        <v>0</v>
      </c>
      <c r="C45" s="21" t="s">
        <v>119</v>
      </c>
      <c r="D45" s="58"/>
      <c r="E45" s="16"/>
      <c r="F45" s="21" t="s">
        <v>120</v>
      </c>
      <c r="G45" s="21" t="s">
        <v>269</v>
      </c>
      <c r="H45" s="22">
        <v>45981</v>
      </c>
      <c r="I45" s="21" t="s">
        <v>823</v>
      </c>
      <c r="J45" s="21" t="s">
        <v>278</v>
      </c>
      <c r="K45" s="23">
        <f t="shared" si="0"/>
        <v>46346</v>
      </c>
      <c r="L45" s="21" t="s">
        <v>452</v>
      </c>
      <c r="M45" s="30">
        <v>9322274356</v>
      </c>
      <c r="N45" s="19" t="s">
        <v>453</v>
      </c>
      <c r="O45" s="16"/>
      <c r="P45" s="19"/>
      <c r="Q45" s="24"/>
      <c r="R45" t="s">
        <v>890</v>
      </c>
    </row>
    <row r="46" spans="1:18" ht="18.75" customHeight="1" x14ac:dyDescent="0.3">
      <c r="A46" s="16" t="str">
        <f t="shared" si="1"/>
        <v/>
      </c>
      <c r="B46" s="71" t="b">
        <v>0</v>
      </c>
      <c r="C46" s="21" t="s">
        <v>121</v>
      </c>
      <c r="D46" s="58"/>
      <c r="E46" s="16"/>
      <c r="F46" s="21" t="s">
        <v>120</v>
      </c>
      <c r="G46" s="21" t="s">
        <v>269</v>
      </c>
      <c r="H46" s="22">
        <v>45981</v>
      </c>
      <c r="I46" s="21" t="s">
        <v>821</v>
      </c>
      <c r="J46" s="21" t="s">
        <v>278</v>
      </c>
      <c r="K46" s="23">
        <f t="shared" si="0"/>
        <v>46346</v>
      </c>
      <c r="L46" s="21" t="s">
        <v>454</v>
      </c>
      <c r="M46" s="30">
        <v>9441789000</v>
      </c>
      <c r="N46" s="19" t="s">
        <v>455</v>
      </c>
      <c r="O46" s="16"/>
      <c r="P46" s="19"/>
      <c r="Q46" s="24"/>
      <c r="R46" t="s">
        <v>890</v>
      </c>
    </row>
    <row r="47" spans="1:18" ht="18.75" customHeight="1" x14ac:dyDescent="0.3">
      <c r="A47" s="16" t="str">
        <f t="shared" si="1"/>
        <v/>
      </c>
      <c r="B47" s="71" t="b">
        <v>0</v>
      </c>
      <c r="C47" s="21" t="s">
        <v>122</v>
      </c>
      <c r="D47" s="59">
        <v>20</v>
      </c>
      <c r="E47" s="26">
        <v>43649</v>
      </c>
      <c r="F47" s="27" t="s">
        <v>6</v>
      </c>
      <c r="G47" s="28" t="s">
        <v>273</v>
      </c>
      <c r="H47" s="29">
        <v>45982</v>
      </c>
      <c r="I47" s="21" t="s">
        <v>829</v>
      </c>
      <c r="J47" s="21" t="s">
        <v>278</v>
      </c>
      <c r="K47" s="23">
        <f t="shared" si="0"/>
        <v>46347</v>
      </c>
      <c r="L47" s="21" t="s">
        <v>302</v>
      </c>
      <c r="M47" s="30">
        <v>8341622908</v>
      </c>
      <c r="N47" s="19" t="s">
        <v>458</v>
      </c>
      <c r="O47" s="16"/>
      <c r="P47" s="19"/>
      <c r="Q47" s="24"/>
      <c r="R47" t="s">
        <v>890</v>
      </c>
    </row>
    <row r="48" spans="1:18" ht="18.75" customHeight="1" x14ac:dyDescent="0.3">
      <c r="A48" s="16" t="str">
        <f t="shared" si="1"/>
        <v/>
      </c>
      <c r="B48" s="71" t="b">
        <v>0</v>
      </c>
      <c r="C48" s="21" t="s">
        <v>123</v>
      </c>
      <c r="D48" s="59">
        <v>1100</v>
      </c>
      <c r="E48" s="26" t="s">
        <v>456</v>
      </c>
      <c r="F48" s="27" t="s">
        <v>23</v>
      </c>
      <c r="G48" s="28" t="s">
        <v>273</v>
      </c>
      <c r="H48" s="29">
        <v>45982</v>
      </c>
      <c r="I48" s="21" t="s">
        <v>274</v>
      </c>
      <c r="J48" s="21"/>
      <c r="K48" s="23">
        <f t="shared" si="0"/>
        <v>46347</v>
      </c>
      <c r="L48" s="21" t="s">
        <v>301</v>
      </c>
      <c r="M48" s="30">
        <v>9539460076</v>
      </c>
      <c r="N48" s="19" t="s">
        <v>457</v>
      </c>
      <c r="O48" s="16"/>
      <c r="P48" s="19"/>
      <c r="Q48" s="24"/>
      <c r="R48" t="s">
        <v>890</v>
      </c>
    </row>
    <row r="49" spans="1:18" ht="18.75" customHeight="1" x14ac:dyDescent="0.3">
      <c r="A49" s="16" t="str">
        <f t="shared" si="1"/>
        <v/>
      </c>
      <c r="B49" s="71" t="b">
        <v>0</v>
      </c>
      <c r="C49" s="21" t="s">
        <v>124</v>
      </c>
      <c r="D49" s="59">
        <v>50</v>
      </c>
      <c r="E49" s="26" t="s">
        <v>459</v>
      </c>
      <c r="F49" s="27" t="s">
        <v>6</v>
      </c>
      <c r="G49" s="28" t="s">
        <v>273</v>
      </c>
      <c r="H49" s="29">
        <v>45985</v>
      </c>
      <c r="I49" s="21" t="s">
        <v>830</v>
      </c>
      <c r="J49" s="21"/>
      <c r="K49" s="23">
        <f t="shared" si="0"/>
        <v>46350</v>
      </c>
      <c r="L49" s="21" t="s">
        <v>307</v>
      </c>
      <c r="M49" s="30">
        <v>9966969669</v>
      </c>
      <c r="N49" s="19" t="s">
        <v>460</v>
      </c>
      <c r="O49" s="16"/>
      <c r="P49" s="19"/>
      <c r="Q49" s="24"/>
      <c r="R49" t="s">
        <v>890</v>
      </c>
    </row>
    <row r="50" spans="1:18" ht="18.75" customHeight="1" x14ac:dyDescent="0.3">
      <c r="A50" s="16" t="str">
        <f t="shared" si="1"/>
        <v/>
      </c>
      <c r="B50" s="71" t="b">
        <v>0</v>
      </c>
      <c r="C50" s="21" t="s">
        <v>125</v>
      </c>
      <c r="D50" s="35">
        <v>20</v>
      </c>
      <c r="E50" s="36">
        <v>44711</v>
      </c>
      <c r="F50" s="37" t="s">
        <v>19</v>
      </c>
      <c r="G50" s="21" t="s">
        <v>298</v>
      </c>
      <c r="H50" s="29">
        <v>45986</v>
      </c>
      <c r="I50" s="21" t="s">
        <v>830</v>
      </c>
      <c r="J50" s="21"/>
      <c r="K50" s="23">
        <f t="shared" si="0"/>
        <v>46351</v>
      </c>
      <c r="L50" s="21" t="s">
        <v>461</v>
      </c>
      <c r="M50" s="30">
        <v>9101378443</v>
      </c>
      <c r="N50" s="19" t="s">
        <v>462</v>
      </c>
      <c r="O50" s="16"/>
      <c r="P50" s="19"/>
      <c r="Q50" s="24"/>
      <c r="R50" t="s">
        <v>890</v>
      </c>
    </row>
    <row r="51" spans="1:18" ht="18.75" customHeight="1" x14ac:dyDescent="0.3">
      <c r="A51" s="16" t="str">
        <f t="shared" si="1"/>
        <v/>
      </c>
      <c r="B51" s="71" t="b">
        <v>0</v>
      </c>
      <c r="C51" s="21" t="s">
        <v>126</v>
      </c>
      <c r="D51" s="56">
        <v>155</v>
      </c>
      <c r="E51" s="26">
        <v>45987</v>
      </c>
      <c r="F51" s="28" t="s">
        <v>36</v>
      </c>
      <c r="G51" s="28" t="s">
        <v>273</v>
      </c>
      <c r="H51" s="29">
        <v>45987</v>
      </c>
      <c r="I51" s="21" t="s">
        <v>820</v>
      </c>
      <c r="J51" s="21" t="s">
        <v>272</v>
      </c>
      <c r="K51" s="23">
        <f t="shared" si="0"/>
        <v>46352</v>
      </c>
      <c r="L51" s="21" t="s">
        <v>463</v>
      </c>
      <c r="M51" s="30">
        <v>9921545111</v>
      </c>
      <c r="N51" s="19" t="s">
        <v>464</v>
      </c>
      <c r="O51" s="16"/>
      <c r="P51" s="19"/>
      <c r="Q51" s="24"/>
      <c r="R51" t="s">
        <v>890</v>
      </c>
    </row>
    <row r="52" spans="1:18" ht="18.75" customHeight="1" x14ac:dyDescent="0.25">
      <c r="A52" s="16">
        <f t="shared" ca="1" si="1"/>
        <v>-43</v>
      </c>
      <c r="B52" s="71" t="b">
        <v>0</v>
      </c>
      <c r="C52" s="21" t="s">
        <v>127</v>
      </c>
      <c r="D52" s="58">
        <v>55</v>
      </c>
      <c r="E52" s="16"/>
      <c r="F52" s="21" t="s">
        <v>84</v>
      </c>
      <c r="G52" s="21" t="s">
        <v>294</v>
      </c>
      <c r="H52" s="29">
        <v>45994</v>
      </c>
      <c r="I52" s="21" t="s">
        <v>828</v>
      </c>
      <c r="J52" s="21"/>
      <c r="K52" s="23">
        <f t="shared" si="0"/>
        <v>46359</v>
      </c>
      <c r="L52" s="21"/>
      <c r="M52" s="30"/>
      <c r="N52" s="19" t="s">
        <v>465</v>
      </c>
      <c r="O52" s="16"/>
      <c r="P52" s="19"/>
      <c r="Q52" s="24"/>
    </row>
    <row r="53" spans="1:18" ht="18.75" customHeight="1" x14ac:dyDescent="0.25">
      <c r="A53" s="16">
        <f t="shared" ca="1" si="1"/>
        <v>-44</v>
      </c>
      <c r="B53" s="71" t="b">
        <v>0</v>
      </c>
      <c r="C53" s="21" t="s">
        <v>128</v>
      </c>
      <c r="D53" s="58">
        <v>400</v>
      </c>
      <c r="E53" s="16"/>
      <c r="F53" s="21" t="s">
        <v>13</v>
      </c>
      <c r="G53" s="21" t="s">
        <v>294</v>
      </c>
      <c r="H53" s="29">
        <v>45995</v>
      </c>
      <c r="I53" s="21" t="s">
        <v>274</v>
      </c>
      <c r="J53" s="21" t="s">
        <v>274</v>
      </c>
      <c r="K53" s="23">
        <f t="shared" si="0"/>
        <v>46360</v>
      </c>
      <c r="L53" s="21"/>
      <c r="M53" s="30"/>
      <c r="N53" s="19" t="s">
        <v>466</v>
      </c>
      <c r="O53" s="16"/>
      <c r="P53" s="19"/>
      <c r="Q53" s="24"/>
    </row>
    <row r="54" spans="1:18" ht="18.75" customHeight="1" x14ac:dyDescent="0.25">
      <c r="A54" s="16">
        <f t="shared" ca="1" si="1"/>
        <v>-44</v>
      </c>
      <c r="B54" s="71" t="b">
        <v>0</v>
      </c>
      <c r="C54" s="21" t="s">
        <v>129</v>
      </c>
      <c r="D54" s="59">
        <v>69.12</v>
      </c>
      <c r="E54" s="26">
        <v>45607</v>
      </c>
      <c r="F54" s="27" t="s">
        <v>17</v>
      </c>
      <c r="G54" s="27" t="s">
        <v>296</v>
      </c>
      <c r="H54" s="29">
        <v>45995</v>
      </c>
      <c r="I54" s="21" t="s">
        <v>826</v>
      </c>
      <c r="J54" s="21" t="s">
        <v>278</v>
      </c>
      <c r="K54" s="23">
        <f t="shared" si="0"/>
        <v>46360</v>
      </c>
      <c r="L54" s="21" t="s">
        <v>315</v>
      </c>
      <c r="M54" s="30">
        <v>9822024345</v>
      </c>
      <c r="N54" s="19" t="s">
        <v>467</v>
      </c>
      <c r="O54" s="16"/>
      <c r="P54" s="19"/>
      <c r="Q54" s="24"/>
    </row>
    <row r="55" spans="1:18" ht="18.75" customHeight="1" x14ac:dyDescent="0.25">
      <c r="A55" s="16">
        <f t="shared" ca="1" si="1"/>
        <v>-50</v>
      </c>
      <c r="B55" s="71" t="b">
        <v>0</v>
      </c>
      <c r="C55" s="21" t="s">
        <v>131</v>
      </c>
      <c r="D55" s="40">
        <v>64</v>
      </c>
      <c r="E55" s="26">
        <v>45840</v>
      </c>
      <c r="F55" s="33" t="s">
        <v>96</v>
      </c>
      <c r="G55" s="28" t="s">
        <v>273</v>
      </c>
      <c r="H55" s="29">
        <v>46001</v>
      </c>
      <c r="I55" s="21" t="s">
        <v>820</v>
      </c>
      <c r="J55" s="21" t="s">
        <v>272</v>
      </c>
      <c r="K55" s="23">
        <f t="shared" si="0"/>
        <v>46366</v>
      </c>
      <c r="L55" s="21" t="s">
        <v>317</v>
      </c>
      <c r="M55" s="30">
        <v>9849015839</v>
      </c>
      <c r="N55" s="19" t="s">
        <v>424</v>
      </c>
      <c r="O55" s="16"/>
      <c r="P55" s="19"/>
      <c r="Q55" s="24"/>
    </row>
    <row r="56" spans="1:18" ht="18.75" customHeight="1" x14ac:dyDescent="0.25">
      <c r="A56" s="16">
        <f t="shared" ca="1" si="1"/>
        <v>-50</v>
      </c>
      <c r="B56" s="71" t="b">
        <v>0</v>
      </c>
      <c r="C56" s="21" t="s">
        <v>132</v>
      </c>
      <c r="D56" s="58">
        <v>207.25</v>
      </c>
      <c r="E56" s="16"/>
      <c r="F56" s="21" t="s">
        <v>58</v>
      </c>
      <c r="G56" s="21" t="s">
        <v>294</v>
      </c>
      <c r="H56" s="22">
        <v>46001</v>
      </c>
      <c r="I56" s="21" t="s">
        <v>820</v>
      </c>
      <c r="J56" s="21"/>
      <c r="K56" s="23">
        <f t="shared" si="0"/>
        <v>46366</v>
      </c>
      <c r="L56" s="21" t="s">
        <v>469</v>
      </c>
      <c r="M56" s="30"/>
      <c r="N56" s="31" t="s">
        <v>470</v>
      </c>
      <c r="O56" s="16"/>
      <c r="P56" s="19"/>
      <c r="Q56" s="24"/>
    </row>
    <row r="57" spans="1:18" ht="18.75" customHeight="1" x14ac:dyDescent="0.25">
      <c r="A57" s="16">
        <f t="shared" ca="1" si="1"/>
        <v>-51</v>
      </c>
      <c r="B57" s="71" t="b">
        <v>0</v>
      </c>
      <c r="C57" s="21" t="s">
        <v>133</v>
      </c>
      <c r="D57" s="58">
        <v>524.36</v>
      </c>
      <c r="E57" s="16"/>
      <c r="F57" s="21" t="s">
        <v>134</v>
      </c>
      <c r="G57" s="21" t="s">
        <v>294</v>
      </c>
      <c r="H57" s="29">
        <v>46002</v>
      </c>
      <c r="I57" s="21" t="s">
        <v>823</v>
      </c>
      <c r="J57" s="21"/>
      <c r="K57" s="23">
        <f t="shared" si="0"/>
        <v>46367</v>
      </c>
      <c r="L57" s="21" t="s">
        <v>471</v>
      </c>
      <c r="M57" s="30"/>
      <c r="N57" s="19" t="s">
        <v>472</v>
      </c>
      <c r="O57" s="16"/>
      <c r="P57" s="19"/>
      <c r="Q57" s="24"/>
    </row>
    <row r="58" spans="1:18" ht="18.75" customHeight="1" x14ac:dyDescent="0.25">
      <c r="A58" s="16">
        <f t="shared" ca="1" si="1"/>
        <v>-52</v>
      </c>
      <c r="B58" s="71" t="b">
        <v>0</v>
      </c>
      <c r="C58" s="21" t="s">
        <v>135</v>
      </c>
      <c r="D58" s="58">
        <v>100</v>
      </c>
      <c r="E58" s="16"/>
      <c r="F58" s="21" t="s">
        <v>51</v>
      </c>
      <c r="G58" s="21" t="s">
        <v>269</v>
      </c>
      <c r="H58" s="22">
        <v>46003</v>
      </c>
      <c r="I58" s="21" t="s">
        <v>825</v>
      </c>
      <c r="J58" s="21"/>
      <c r="K58" s="23">
        <f t="shared" si="0"/>
        <v>46368</v>
      </c>
      <c r="L58" s="21" t="s">
        <v>449</v>
      </c>
      <c r="M58" s="30">
        <v>9179018884</v>
      </c>
      <c r="N58" s="19" t="s">
        <v>450</v>
      </c>
      <c r="O58" s="16"/>
      <c r="P58" s="19"/>
      <c r="Q58" s="24"/>
    </row>
    <row r="59" spans="1:18" ht="18.75" customHeight="1" x14ac:dyDescent="0.25">
      <c r="A59" s="16">
        <f t="shared" ca="1" si="1"/>
        <v>-52</v>
      </c>
      <c r="B59" s="71" t="b">
        <v>0</v>
      </c>
      <c r="C59" s="21" t="s">
        <v>136</v>
      </c>
      <c r="D59" s="58">
        <v>15</v>
      </c>
      <c r="E59" s="16"/>
      <c r="F59" s="21" t="s">
        <v>70</v>
      </c>
      <c r="G59" s="21" t="s">
        <v>294</v>
      </c>
      <c r="H59" s="29">
        <v>46003</v>
      </c>
      <c r="I59" s="21" t="s">
        <v>274</v>
      </c>
      <c r="J59" s="21"/>
      <c r="K59" s="23">
        <f t="shared" si="0"/>
        <v>46368</v>
      </c>
      <c r="L59" s="21" t="s">
        <v>473</v>
      </c>
      <c r="M59" s="30"/>
      <c r="N59" s="19" t="s">
        <v>474</v>
      </c>
      <c r="O59" s="16"/>
      <c r="P59" s="19"/>
      <c r="Q59" s="24"/>
    </row>
    <row r="60" spans="1:18" ht="18.75" customHeight="1" x14ac:dyDescent="0.25">
      <c r="A60" s="16">
        <f t="shared" ca="1" si="1"/>
        <v>-56</v>
      </c>
      <c r="B60" s="71" t="b">
        <v>0</v>
      </c>
      <c r="C60" s="21" t="s">
        <v>137</v>
      </c>
      <c r="D60" s="59">
        <v>348.41</v>
      </c>
      <c r="E60" s="26">
        <v>45381</v>
      </c>
      <c r="F60" s="27" t="s">
        <v>15</v>
      </c>
      <c r="G60" s="27" t="s">
        <v>296</v>
      </c>
      <c r="H60" s="29">
        <v>46007</v>
      </c>
      <c r="I60" s="21" t="s">
        <v>821</v>
      </c>
      <c r="J60" s="21" t="s">
        <v>278</v>
      </c>
      <c r="K60" s="23">
        <f t="shared" si="0"/>
        <v>46372</v>
      </c>
      <c r="L60" s="21" t="s">
        <v>463</v>
      </c>
      <c r="M60" s="30">
        <v>9921545111</v>
      </c>
      <c r="N60" s="19" t="s">
        <v>475</v>
      </c>
      <c r="O60" s="16"/>
      <c r="P60" s="19"/>
      <c r="Q60" s="24"/>
    </row>
    <row r="61" spans="1:18" ht="18.75" customHeight="1" x14ac:dyDescent="0.25">
      <c r="A61" s="16">
        <f t="shared" ca="1" si="1"/>
        <v>-58</v>
      </c>
      <c r="B61" s="71" t="b">
        <v>0</v>
      </c>
      <c r="C61" s="21" t="s">
        <v>138</v>
      </c>
      <c r="D61" s="35">
        <v>33.94</v>
      </c>
      <c r="E61" s="36">
        <v>45615</v>
      </c>
      <c r="F61" s="37" t="s">
        <v>19</v>
      </c>
      <c r="G61" s="21" t="s">
        <v>298</v>
      </c>
      <c r="H61" s="29">
        <v>46009</v>
      </c>
      <c r="I61" s="21" t="s">
        <v>825</v>
      </c>
      <c r="J61" s="21"/>
      <c r="K61" s="23">
        <f t="shared" si="0"/>
        <v>46374</v>
      </c>
      <c r="L61" s="21" t="s">
        <v>478</v>
      </c>
      <c r="M61" s="30">
        <v>9136113791</v>
      </c>
      <c r="N61" s="19" t="s">
        <v>479</v>
      </c>
      <c r="O61" s="16"/>
      <c r="P61" s="19"/>
      <c r="Q61" s="24"/>
    </row>
    <row r="62" spans="1:18" ht="18.75" customHeight="1" x14ac:dyDescent="0.25">
      <c r="A62" s="16">
        <f t="shared" ca="1" si="1"/>
        <v>-58</v>
      </c>
      <c r="B62" s="71" t="b">
        <v>0</v>
      </c>
      <c r="C62" s="21" t="s">
        <v>139</v>
      </c>
      <c r="D62" s="58">
        <v>68.75</v>
      </c>
      <c r="E62" s="24">
        <v>45615</v>
      </c>
      <c r="F62" s="21" t="s">
        <v>100</v>
      </c>
      <c r="G62" s="21" t="s">
        <v>298</v>
      </c>
      <c r="H62" s="22">
        <v>46009</v>
      </c>
      <c r="I62" s="21" t="s">
        <v>827</v>
      </c>
      <c r="J62" s="21" t="s">
        <v>278</v>
      </c>
      <c r="K62" s="23">
        <f t="shared" si="0"/>
        <v>46374</v>
      </c>
      <c r="L62" s="21" t="s">
        <v>476</v>
      </c>
      <c r="M62" s="30">
        <v>9979986986</v>
      </c>
      <c r="N62" s="19" t="s">
        <v>477</v>
      </c>
      <c r="O62" s="16"/>
      <c r="P62" s="19"/>
      <c r="Q62" s="24"/>
    </row>
    <row r="63" spans="1:18" ht="18.75" customHeight="1" x14ac:dyDescent="0.25">
      <c r="A63" s="16">
        <f t="shared" ca="1" si="1"/>
        <v>-59</v>
      </c>
      <c r="B63" s="71" t="b">
        <v>0</v>
      </c>
      <c r="C63" s="21" t="s">
        <v>140</v>
      </c>
      <c r="D63" s="58">
        <v>20</v>
      </c>
      <c r="E63" s="16"/>
      <c r="F63" s="21" t="s">
        <v>141</v>
      </c>
      <c r="G63" s="21" t="s">
        <v>269</v>
      </c>
      <c r="H63" s="29">
        <v>46010</v>
      </c>
      <c r="I63" s="21" t="s">
        <v>828</v>
      </c>
      <c r="J63" s="21"/>
      <c r="K63" s="23">
        <f t="shared" si="0"/>
        <v>46375</v>
      </c>
      <c r="L63" s="21" t="s">
        <v>480</v>
      </c>
      <c r="M63" s="30">
        <v>9688628888</v>
      </c>
      <c r="N63" s="19" t="s">
        <v>481</v>
      </c>
      <c r="O63" s="16"/>
      <c r="P63" s="19"/>
      <c r="Q63" s="24"/>
    </row>
    <row r="64" spans="1:18" ht="18.75" customHeight="1" x14ac:dyDescent="0.25">
      <c r="A64" s="16">
        <f t="shared" ca="1" si="1"/>
        <v>-59</v>
      </c>
      <c r="B64" s="71" t="b">
        <v>0</v>
      </c>
      <c r="C64" s="21" t="s">
        <v>907</v>
      </c>
      <c r="D64" s="58">
        <v>37</v>
      </c>
      <c r="E64" s="16"/>
      <c r="F64" s="21" t="s">
        <v>120</v>
      </c>
      <c r="G64" s="21" t="s">
        <v>269</v>
      </c>
      <c r="H64" s="22">
        <v>46010</v>
      </c>
      <c r="I64" s="21" t="s">
        <v>827</v>
      </c>
      <c r="J64" s="21"/>
      <c r="K64" s="23">
        <f t="shared" si="0"/>
        <v>46375</v>
      </c>
      <c r="L64" s="21" t="s">
        <v>482</v>
      </c>
      <c r="M64" s="30">
        <v>9837899918</v>
      </c>
      <c r="N64" s="19" t="s">
        <v>483</v>
      </c>
      <c r="O64" s="16"/>
      <c r="P64" s="19"/>
      <c r="Q64" s="24"/>
    </row>
    <row r="65" spans="1:17" ht="18.75" customHeight="1" x14ac:dyDescent="0.25">
      <c r="A65" s="16">
        <f t="shared" ca="1" si="1"/>
        <v>-62</v>
      </c>
      <c r="B65" s="71" t="b">
        <v>0</v>
      </c>
      <c r="C65" s="21" t="s">
        <v>906</v>
      </c>
      <c r="D65" s="47">
        <v>14</v>
      </c>
      <c r="E65" s="48">
        <v>44833</v>
      </c>
      <c r="F65" s="33" t="s">
        <v>65</v>
      </c>
      <c r="G65" s="21" t="s">
        <v>298</v>
      </c>
      <c r="H65" s="29">
        <v>46013</v>
      </c>
      <c r="I65" s="21" t="s">
        <v>828</v>
      </c>
      <c r="J65" s="21" t="s">
        <v>278</v>
      </c>
      <c r="K65" s="23">
        <f t="shared" si="0"/>
        <v>46378</v>
      </c>
      <c r="L65" s="21" t="s">
        <v>484</v>
      </c>
      <c r="M65" s="30">
        <v>9437085017</v>
      </c>
      <c r="N65" s="19" t="s">
        <v>485</v>
      </c>
      <c r="O65" s="16"/>
      <c r="P65" s="19"/>
      <c r="Q65" s="24"/>
    </row>
    <row r="66" spans="1:17" ht="18.75" customHeight="1" x14ac:dyDescent="0.25">
      <c r="A66" s="16">
        <f t="shared" ca="1" si="1"/>
        <v>-63</v>
      </c>
      <c r="B66" s="71" t="b">
        <v>0</v>
      </c>
      <c r="C66" s="21" t="s">
        <v>143</v>
      </c>
      <c r="D66" s="60">
        <v>25.3</v>
      </c>
      <c r="E66" s="44">
        <v>45611</v>
      </c>
      <c r="F66" s="45" t="s">
        <v>63</v>
      </c>
      <c r="G66" s="21" t="s">
        <v>298</v>
      </c>
      <c r="H66" s="46">
        <v>46014</v>
      </c>
      <c r="I66" s="21" t="s">
        <v>823</v>
      </c>
      <c r="J66" s="21" t="s">
        <v>278</v>
      </c>
      <c r="K66" s="23">
        <f t="shared" ref="K66:K129" si="2">EDATE(H66,12)</f>
        <v>46379</v>
      </c>
      <c r="L66" s="21" t="s">
        <v>486</v>
      </c>
      <c r="M66" s="30">
        <v>9420343003</v>
      </c>
      <c r="N66" s="19" t="s">
        <v>487</v>
      </c>
      <c r="O66" s="16"/>
      <c r="P66" s="19"/>
      <c r="Q66" s="24"/>
    </row>
    <row r="67" spans="1:17" ht="18.75" customHeight="1" x14ac:dyDescent="0.25">
      <c r="A67" s="16">
        <f t="shared" ca="1" si="1"/>
        <v>-64</v>
      </c>
      <c r="B67" s="71" t="b">
        <v>0</v>
      </c>
      <c r="C67" s="21" t="s">
        <v>144</v>
      </c>
      <c r="D67" s="58"/>
      <c r="E67" s="16"/>
      <c r="F67" s="21" t="s">
        <v>43</v>
      </c>
      <c r="G67" s="21" t="s">
        <v>294</v>
      </c>
      <c r="H67" s="29">
        <v>46015</v>
      </c>
      <c r="I67" s="21" t="s">
        <v>825</v>
      </c>
      <c r="J67" s="21" t="s">
        <v>278</v>
      </c>
      <c r="K67" s="23">
        <f t="shared" si="2"/>
        <v>46380</v>
      </c>
      <c r="L67" s="21" t="s">
        <v>490</v>
      </c>
      <c r="M67" s="30"/>
      <c r="N67" s="19" t="s">
        <v>491</v>
      </c>
      <c r="O67" s="16"/>
      <c r="P67" s="19"/>
      <c r="Q67" s="24"/>
    </row>
    <row r="68" spans="1:17" ht="18.75" customHeight="1" x14ac:dyDescent="0.25">
      <c r="A68" s="16">
        <f t="shared" ca="1" si="1"/>
        <v>-64</v>
      </c>
      <c r="B68" s="71" t="b">
        <v>0</v>
      </c>
      <c r="C68" s="21" t="s">
        <v>145</v>
      </c>
      <c r="D68" s="58"/>
      <c r="E68" s="16"/>
      <c r="F68" s="21" t="s">
        <v>134</v>
      </c>
      <c r="G68" s="21" t="s">
        <v>294</v>
      </c>
      <c r="H68" s="29">
        <v>46015</v>
      </c>
      <c r="I68" s="21" t="s">
        <v>274</v>
      </c>
      <c r="J68" s="21" t="s">
        <v>274</v>
      </c>
      <c r="K68" s="23">
        <f t="shared" si="2"/>
        <v>46380</v>
      </c>
      <c r="L68" s="21" t="s">
        <v>488</v>
      </c>
      <c r="M68" s="30"/>
      <c r="N68" s="19" t="s">
        <v>489</v>
      </c>
      <c r="O68" s="16"/>
      <c r="P68" s="19"/>
      <c r="Q68" s="24"/>
    </row>
    <row r="69" spans="1:17" ht="18.75" customHeight="1" x14ac:dyDescent="0.25">
      <c r="A69" s="16">
        <f t="shared" ca="1" si="1"/>
        <v>-64</v>
      </c>
      <c r="B69" s="71" t="b">
        <v>0</v>
      </c>
      <c r="C69" s="21" t="s">
        <v>146</v>
      </c>
      <c r="D69" s="58"/>
      <c r="E69" s="16"/>
      <c r="F69" s="21" t="s">
        <v>43</v>
      </c>
      <c r="G69" s="21" t="s">
        <v>294</v>
      </c>
      <c r="H69" s="29">
        <v>46015</v>
      </c>
      <c r="I69" s="21" t="s">
        <v>825</v>
      </c>
      <c r="J69" s="21" t="s">
        <v>278</v>
      </c>
      <c r="K69" s="23">
        <f t="shared" si="2"/>
        <v>46380</v>
      </c>
      <c r="L69" s="21" t="s">
        <v>492</v>
      </c>
      <c r="M69" s="30"/>
      <c r="N69" s="19" t="s">
        <v>493</v>
      </c>
      <c r="O69" s="16"/>
      <c r="P69" s="19"/>
      <c r="Q69" s="24"/>
    </row>
    <row r="70" spans="1:17" ht="18.75" customHeight="1" x14ac:dyDescent="0.25">
      <c r="A70" s="16">
        <f t="shared" ref="A70:A133" ca="1" si="3">IF(OR(I70="Withdrawn",R70="Transfer"),"",($A$1-H70)-365)</f>
        <v>-69</v>
      </c>
      <c r="B70" s="71" t="b">
        <v>0</v>
      </c>
      <c r="C70" s="21" t="s">
        <v>147</v>
      </c>
      <c r="D70" s="58"/>
      <c r="E70" s="16"/>
      <c r="F70" s="21" t="s">
        <v>13</v>
      </c>
      <c r="G70" s="21" t="s">
        <v>294</v>
      </c>
      <c r="H70" s="29">
        <v>46020</v>
      </c>
      <c r="I70" s="21" t="s">
        <v>823</v>
      </c>
      <c r="J70" s="21" t="s">
        <v>278</v>
      </c>
      <c r="K70" s="23">
        <f t="shared" si="2"/>
        <v>46385</v>
      </c>
      <c r="L70" s="21"/>
      <c r="M70" s="30"/>
      <c r="N70" s="19" t="s">
        <v>494</v>
      </c>
      <c r="O70" s="16"/>
      <c r="P70" s="19"/>
      <c r="Q70" s="24"/>
    </row>
    <row r="71" spans="1:17" ht="18.75" customHeight="1" x14ac:dyDescent="0.25">
      <c r="A71" s="16">
        <f t="shared" ca="1" si="3"/>
        <v>-69</v>
      </c>
      <c r="B71" s="71" t="b">
        <v>0</v>
      </c>
      <c r="C71" s="21" t="s">
        <v>148</v>
      </c>
      <c r="D71" s="60">
        <v>20</v>
      </c>
      <c r="E71" s="44">
        <v>45845</v>
      </c>
      <c r="F71" s="45" t="s">
        <v>63</v>
      </c>
      <c r="G71" s="21" t="s">
        <v>298</v>
      </c>
      <c r="H71" s="46">
        <v>46020</v>
      </c>
      <c r="I71" s="21" t="s">
        <v>820</v>
      </c>
      <c r="J71" s="21" t="s">
        <v>272</v>
      </c>
      <c r="K71" s="23">
        <f t="shared" si="2"/>
        <v>46385</v>
      </c>
      <c r="L71" s="21" t="s">
        <v>497</v>
      </c>
      <c r="M71" s="30">
        <v>9909991872</v>
      </c>
      <c r="N71" s="19" t="s">
        <v>498</v>
      </c>
      <c r="O71" s="16"/>
      <c r="P71" s="19"/>
      <c r="Q71" s="24"/>
    </row>
    <row r="72" spans="1:17" ht="18.75" customHeight="1" x14ac:dyDescent="0.25">
      <c r="A72" s="16">
        <f t="shared" ca="1" si="3"/>
        <v>-69</v>
      </c>
      <c r="B72" s="71" t="b">
        <v>0</v>
      </c>
      <c r="C72" s="21" t="s">
        <v>149</v>
      </c>
      <c r="D72" s="58"/>
      <c r="E72" s="16"/>
      <c r="F72" s="21" t="s">
        <v>13</v>
      </c>
      <c r="G72" s="21" t="s">
        <v>294</v>
      </c>
      <c r="H72" s="29">
        <v>46020</v>
      </c>
      <c r="I72" s="21" t="s">
        <v>821</v>
      </c>
      <c r="J72" s="21" t="s">
        <v>278</v>
      </c>
      <c r="K72" s="23">
        <f t="shared" si="2"/>
        <v>46385</v>
      </c>
      <c r="L72" s="21"/>
      <c r="M72" s="30"/>
      <c r="N72" s="19" t="s">
        <v>495</v>
      </c>
      <c r="O72" s="16"/>
      <c r="P72" s="19"/>
      <c r="Q72" s="24"/>
    </row>
    <row r="73" spans="1:17" ht="18.75" customHeight="1" x14ac:dyDescent="0.25">
      <c r="A73" s="16">
        <f t="shared" ca="1" si="3"/>
        <v>-69</v>
      </c>
      <c r="B73" s="71" t="b">
        <v>0</v>
      </c>
      <c r="C73" s="21" t="s">
        <v>150</v>
      </c>
      <c r="D73" s="58"/>
      <c r="E73" s="16"/>
      <c r="F73" s="21" t="s">
        <v>13</v>
      </c>
      <c r="G73" s="21" t="s">
        <v>294</v>
      </c>
      <c r="H73" s="29">
        <v>46020</v>
      </c>
      <c r="I73" s="21" t="s">
        <v>274</v>
      </c>
      <c r="J73" s="21"/>
      <c r="K73" s="23">
        <f t="shared" si="2"/>
        <v>46385</v>
      </c>
      <c r="L73" s="21"/>
      <c r="M73" s="30"/>
      <c r="N73" s="19" t="s">
        <v>496</v>
      </c>
      <c r="O73" s="16"/>
      <c r="P73" s="19"/>
      <c r="Q73" s="24"/>
    </row>
    <row r="74" spans="1:17" ht="18.75" customHeight="1" x14ac:dyDescent="0.25">
      <c r="A74" s="16">
        <f t="shared" ca="1" si="3"/>
        <v>-69</v>
      </c>
      <c r="B74" s="71" t="b">
        <v>0</v>
      </c>
      <c r="C74" s="21" t="s">
        <v>151</v>
      </c>
      <c r="D74" s="58"/>
      <c r="E74" s="16"/>
      <c r="F74" s="21" t="s">
        <v>13</v>
      </c>
      <c r="G74" s="21" t="s">
        <v>294</v>
      </c>
      <c r="H74" s="29">
        <v>46020</v>
      </c>
      <c r="I74" s="21" t="s">
        <v>274</v>
      </c>
      <c r="J74" s="21"/>
      <c r="K74" s="23">
        <f t="shared" si="2"/>
        <v>46385</v>
      </c>
      <c r="L74" s="21"/>
      <c r="M74" s="30"/>
      <c r="N74" s="19" t="s">
        <v>496</v>
      </c>
      <c r="O74" s="16"/>
      <c r="P74" s="19"/>
      <c r="Q74" s="24"/>
    </row>
    <row r="75" spans="1:17" ht="18.75" customHeight="1" x14ac:dyDescent="0.25">
      <c r="A75" s="16">
        <f t="shared" ca="1" si="3"/>
        <v>-71</v>
      </c>
      <c r="B75" s="71" t="b">
        <v>0</v>
      </c>
      <c r="C75" s="21" t="s">
        <v>152</v>
      </c>
      <c r="D75" s="58"/>
      <c r="E75" s="16"/>
      <c r="F75" s="21" t="s">
        <v>153</v>
      </c>
      <c r="G75" s="21" t="s">
        <v>269</v>
      </c>
      <c r="H75" s="22">
        <v>46022</v>
      </c>
      <c r="I75" s="21" t="s">
        <v>825</v>
      </c>
      <c r="J75" s="21"/>
      <c r="K75" s="23">
        <f t="shared" si="2"/>
        <v>46387</v>
      </c>
      <c r="L75" s="21" t="s">
        <v>499</v>
      </c>
      <c r="M75" s="30">
        <v>9926659276</v>
      </c>
      <c r="N75" s="19" t="s">
        <v>500</v>
      </c>
      <c r="O75" s="16"/>
      <c r="P75" s="19"/>
      <c r="Q75" s="24"/>
    </row>
    <row r="76" spans="1:17" ht="18.75" customHeight="1" x14ac:dyDescent="0.25">
      <c r="A76" s="16">
        <f t="shared" ca="1" si="3"/>
        <v>-72</v>
      </c>
      <c r="B76" s="71" t="b">
        <v>0</v>
      </c>
      <c r="C76" s="21" t="s">
        <v>154</v>
      </c>
      <c r="D76" s="56">
        <v>130</v>
      </c>
      <c r="E76" s="26" t="s">
        <v>501</v>
      </c>
      <c r="F76" s="28" t="s">
        <v>105</v>
      </c>
      <c r="G76" s="28" t="s">
        <v>298</v>
      </c>
      <c r="H76" s="29">
        <v>46023</v>
      </c>
      <c r="I76" s="21" t="s">
        <v>274</v>
      </c>
      <c r="J76" s="21" t="s">
        <v>274</v>
      </c>
      <c r="K76" s="23">
        <f t="shared" si="2"/>
        <v>46388</v>
      </c>
      <c r="L76" s="21" t="s">
        <v>434</v>
      </c>
      <c r="M76" s="30">
        <v>9810332923</v>
      </c>
      <c r="N76" s="19" t="s">
        <v>430</v>
      </c>
      <c r="O76" s="16"/>
      <c r="P76" s="19"/>
      <c r="Q76" s="24"/>
    </row>
    <row r="77" spans="1:17" ht="18.75" customHeight="1" x14ac:dyDescent="0.25">
      <c r="A77" s="16">
        <f t="shared" ca="1" si="3"/>
        <v>-73</v>
      </c>
      <c r="B77" s="71" t="b">
        <v>0</v>
      </c>
      <c r="C77" s="21" t="s">
        <v>155</v>
      </c>
      <c r="D77" s="59">
        <v>57.04</v>
      </c>
      <c r="E77" s="26">
        <v>45197</v>
      </c>
      <c r="F77" s="27" t="s">
        <v>15</v>
      </c>
      <c r="G77" s="27" t="s">
        <v>296</v>
      </c>
      <c r="H77" s="29">
        <v>46024</v>
      </c>
      <c r="I77" s="21" t="s">
        <v>823</v>
      </c>
      <c r="J77" s="21" t="s">
        <v>278</v>
      </c>
      <c r="K77" s="23">
        <f t="shared" si="2"/>
        <v>46389</v>
      </c>
      <c r="L77" s="21" t="s">
        <v>315</v>
      </c>
      <c r="M77" s="30">
        <v>9822024345</v>
      </c>
      <c r="N77" s="19" t="s">
        <v>502</v>
      </c>
      <c r="O77" s="16"/>
      <c r="P77" s="19"/>
      <c r="Q77" s="24"/>
    </row>
    <row r="78" spans="1:17" ht="18.75" customHeight="1" x14ac:dyDescent="0.25">
      <c r="A78" s="16">
        <f t="shared" ca="1" si="3"/>
        <v>-79</v>
      </c>
      <c r="B78" s="71" t="b">
        <v>0</v>
      </c>
      <c r="C78" s="21" t="s">
        <v>156</v>
      </c>
      <c r="D78" s="58"/>
      <c r="E78" s="16"/>
      <c r="F78" s="21" t="s">
        <v>70</v>
      </c>
      <c r="G78" s="21" t="s">
        <v>294</v>
      </c>
      <c r="H78" s="29">
        <v>46030</v>
      </c>
      <c r="I78" s="21" t="s">
        <v>821</v>
      </c>
      <c r="J78" s="21" t="s">
        <v>278</v>
      </c>
      <c r="K78" s="23">
        <f t="shared" si="2"/>
        <v>46395</v>
      </c>
      <c r="L78" s="21" t="s">
        <v>503</v>
      </c>
      <c r="M78" s="30"/>
      <c r="N78" s="19" t="s">
        <v>504</v>
      </c>
      <c r="O78" s="16"/>
      <c r="P78" s="19"/>
      <c r="Q78" s="24"/>
    </row>
    <row r="79" spans="1:17" ht="18.75" customHeight="1" x14ac:dyDescent="0.25">
      <c r="A79" s="16">
        <f t="shared" ca="1" si="3"/>
        <v>-83</v>
      </c>
      <c r="B79" s="71" t="b">
        <v>0</v>
      </c>
      <c r="C79" s="21" t="s">
        <v>157</v>
      </c>
      <c r="D79" s="59">
        <v>150</v>
      </c>
      <c r="E79" s="26">
        <v>46357</v>
      </c>
      <c r="F79" s="27" t="s">
        <v>23</v>
      </c>
      <c r="G79" s="28" t="s">
        <v>273</v>
      </c>
      <c r="H79" s="22">
        <v>46034</v>
      </c>
      <c r="I79" s="21" t="s">
        <v>820</v>
      </c>
      <c r="J79" s="21"/>
      <c r="K79" s="23">
        <f t="shared" si="2"/>
        <v>46399</v>
      </c>
      <c r="L79" s="21"/>
      <c r="M79" s="30">
        <v>7624998984</v>
      </c>
      <c r="N79" s="31" t="s">
        <v>506</v>
      </c>
      <c r="O79" s="16"/>
      <c r="P79" s="19"/>
      <c r="Q79" s="24"/>
    </row>
    <row r="80" spans="1:17" ht="18.75" customHeight="1" x14ac:dyDescent="0.25">
      <c r="A80" s="16">
        <f t="shared" ca="1" si="3"/>
        <v>-83</v>
      </c>
      <c r="B80" s="71" t="b">
        <v>0</v>
      </c>
      <c r="C80" s="33" t="s">
        <v>158</v>
      </c>
      <c r="D80" s="40">
        <v>269.17</v>
      </c>
      <c r="E80" s="50">
        <v>45299</v>
      </c>
      <c r="F80" s="51" t="s">
        <v>86</v>
      </c>
      <c r="G80" s="21" t="s">
        <v>273</v>
      </c>
      <c r="H80" s="29">
        <v>46034</v>
      </c>
      <c r="I80" s="21" t="s">
        <v>274</v>
      </c>
      <c r="J80" s="21"/>
      <c r="K80" s="23">
        <f t="shared" si="2"/>
        <v>46399</v>
      </c>
      <c r="L80" s="21"/>
      <c r="M80" s="30"/>
      <c r="N80" s="19" t="s">
        <v>505</v>
      </c>
      <c r="O80" s="16"/>
      <c r="P80" s="19"/>
      <c r="Q80" s="24"/>
    </row>
    <row r="81" spans="1:17" ht="18.75" customHeight="1" x14ac:dyDescent="0.25">
      <c r="A81" s="16">
        <f t="shared" ca="1" si="3"/>
        <v>-83</v>
      </c>
      <c r="B81" s="71" t="b">
        <v>0</v>
      </c>
      <c r="C81" s="21" t="s">
        <v>159</v>
      </c>
      <c r="D81" s="40">
        <v>44.9</v>
      </c>
      <c r="E81" s="50">
        <v>45299</v>
      </c>
      <c r="F81" s="51" t="s">
        <v>86</v>
      </c>
      <c r="G81" s="21" t="s">
        <v>273</v>
      </c>
      <c r="H81" s="29">
        <v>46034</v>
      </c>
      <c r="I81" s="21" t="s">
        <v>274</v>
      </c>
      <c r="J81" s="21"/>
      <c r="K81" s="23">
        <f t="shared" si="2"/>
        <v>46399</v>
      </c>
      <c r="L81" s="21"/>
      <c r="M81" s="30"/>
      <c r="N81" s="19" t="s">
        <v>505</v>
      </c>
      <c r="O81" s="16"/>
      <c r="P81" s="19"/>
      <c r="Q81" s="24"/>
    </row>
    <row r="82" spans="1:17" ht="18.75" customHeight="1" x14ac:dyDescent="0.25">
      <c r="A82" s="16">
        <f t="shared" ca="1" si="3"/>
        <v>-84</v>
      </c>
      <c r="B82" s="71" t="b">
        <v>0</v>
      </c>
      <c r="C82" s="33" t="s">
        <v>160</v>
      </c>
      <c r="D82" s="40">
        <v>64.23</v>
      </c>
      <c r="E82" s="50">
        <v>45220</v>
      </c>
      <c r="F82" s="51" t="s">
        <v>86</v>
      </c>
      <c r="G82" s="21" t="s">
        <v>273</v>
      </c>
      <c r="H82" s="29">
        <v>46035</v>
      </c>
      <c r="I82" s="21" t="s">
        <v>274</v>
      </c>
      <c r="J82" s="21"/>
      <c r="K82" s="23">
        <f t="shared" si="2"/>
        <v>46400</v>
      </c>
      <c r="L82" s="21"/>
      <c r="M82" s="30"/>
      <c r="N82" s="31" t="s">
        <v>507</v>
      </c>
      <c r="O82" s="16"/>
      <c r="P82" s="19"/>
      <c r="Q82" s="24"/>
    </row>
    <row r="83" spans="1:17" ht="18.75" customHeight="1" x14ac:dyDescent="0.25">
      <c r="A83" s="16">
        <f t="shared" ca="1" si="3"/>
        <v>-90</v>
      </c>
      <c r="B83" s="71" t="b">
        <v>0</v>
      </c>
      <c r="C83" s="21" t="s">
        <v>879</v>
      </c>
      <c r="D83" s="58">
        <v>28.08</v>
      </c>
      <c r="E83" s="16"/>
      <c r="F83" s="21" t="s">
        <v>114</v>
      </c>
      <c r="G83" s="21" t="s">
        <v>296</v>
      </c>
      <c r="H83" s="29">
        <v>46041</v>
      </c>
      <c r="I83" s="21" t="s">
        <v>274</v>
      </c>
      <c r="J83" s="21"/>
      <c r="K83" s="23">
        <f t="shared" si="2"/>
        <v>46406</v>
      </c>
      <c r="L83" s="21" t="s">
        <v>880</v>
      </c>
      <c r="M83" s="30">
        <v>7337639566</v>
      </c>
      <c r="N83" s="19" t="s">
        <v>881</v>
      </c>
      <c r="O83" s="16"/>
      <c r="P83" s="19"/>
      <c r="Q83" s="24"/>
    </row>
    <row r="84" spans="1:17" ht="18.75" customHeight="1" x14ac:dyDescent="0.25">
      <c r="A84" s="16">
        <f t="shared" ca="1" si="3"/>
        <v>-94</v>
      </c>
      <c r="B84" s="71" t="b">
        <v>0</v>
      </c>
      <c r="C84" s="21" t="s">
        <v>162</v>
      </c>
      <c r="D84" s="59">
        <v>3</v>
      </c>
      <c r="E84" s="26">
        <v>45170</v>
      </c>
      <c r="F84" s="27" t="s">
        <v>23</v>
      </c>
      <c r="G84" s="28" t="s">
        <v>273</v>
      </c>
      <c r="H84" s="29">
        <v>46045</v>
      </c>
      <c r="I84" s="21" t="s">
        <v>828</v>
      </c>
      <c r="J84" s="21"/>
      <c r="K84" s="23">
        <f t="shared" si="2"/>
        <v>46410</v>
      </c>
      <c r="L84" s="21" t="s">
        <v>332</v>
      </c>
      <c r="M84" s="30">
        <v>9652828883</v>
      </c>
      <c r="N84" s="19" t="s">
        <v>510</v>
      </c>
      <c r="O84" s="16"/>
      <c r="P84" s="19"/>
      <c r="Q84" s="24"/>
    </row>
    <row r="85" spans="1:17" ht="18.75" customHeight="1" x14ac:dyDescent="0.25">
      <c r="A85" s="16">
        <f t="shared" ca="1" si="3"/>
        <v>-94</v>
      </c>
      <c r="B85" s="71" t="b">
        <v>0</v>
      </c>
      <c r="C85" s="21" t="s">
        <v>164</v>
      </c>
      <c r="D85" s="72">
        <v>84.91</v>
      </c>
      <c r="E85" s="16"/>
      <c r="F85" s="21" t="s">
        <v>6</v>
      </c>
      <c r="G85" s="21" t="s">
        <v>273</v>
      </c>
      <c r="H85" s="22">
        <v>46045</v>
      </c>
      <c r="I85" s="21" t="s">
        <v>823</v>
      </c>
      <c r="J85" s="21"/>
      <c r="K85" s="23">
        <f t="shared" si="2"/>
        <v>46410</v>
      </c>
      <c r="L85" s="21"/>
      <c r="M85" s="81">
        <v>9552647944</v>
      </c>
      <c r="N85" s="31" t="s">
        <v>512</v>
      </c>
      <c r="O85" s="16"/>
      <c r="P85" s="19"/>
      <c r="Q85" s="24"/>
    </row>
    <row r="86" spans="1:17" ht="18.75" customHeight="1" x14ac:dyDescent="0.25">
      <c r="A86" s="16">
        <f t="shared" ca="1" si="3"/>
        <v>-94</v>
      </c>
      <c r="B86" s="71" t="b">
        <v>0</v>
      </c>
      <c r="C86" s="21" t="s">
        <v>163</v>
      </c>
      <c r="D86" s="59">
        <v>3</v>
      </c>
      <c r="E86" s="26">
        <v>45170</v>
      </c>
      <c r="F86" s="27" t="s">
        <v>23</v>
      </c>
      <c r="G86" s="28" t="s">
        <v>273</v>
      </c>
      <c r="H86" s="29">
        <v>46045</v>
      </c>
      <c r="I86" s="21" t="s">
        <v>827</v>
      </c>
      <c r="J86" s="21"/>
      <c r="K86" s="23">
        <f t="shared" si="2"/>
        <v>46410</v>
      </c>
      <c r="L86" s="21" t="s">
        <v>284</v>
      </c>
      <c r="M86" s="30" t="s">
        <v>285</v>
      </c>
      <c r="N86" s="19" t="s">
        <v>511</v>
      </c>
      <c r="O86" s="16"/>
      <c r="P86" s="19"/>
      <c r="Q86" s="24"/>
    </row>
    <row r="87" spans="1:17" ht="18.75" customHeight="1" x14ac:dyDescent="0.25">
      <c r="A87" s="16">
        <f t="shared" ca="1" si="3"/>
        <v>-99</v>
      </c>
      <c r="B87" s="71" t="b">
        <v>0</v>
      </c>
      <c r="C87" s="21" t="s">
        <v>165</v>
      </c>
      <c r="D87" s="58"/>
      <c r="E87" s="16"/>
      <c r="F87" s="21" t="s">
        <v>84</v>
      </c>
      <c r="G87" s="21" t="s">
        <v>294</v>
      </c>
      <c r="H87" s="29">
        <v>46050</v>
      </c>
      <c r="I87" s="21" t="s">
        <v>274</v>
      </c>
      <c r="J87" s="21" t="s">
        <v>274</v>
      </c>
      <c r="K87" s="23">
        <f t="shared" si="2"/>
        <v>46415</v>
      </c>
      <c r="L87" s="21" t="s">
        <v>513</v>
      </c>
      <c r="M87" s="30"/>
      <c r="N87" s="19" t="s">
        <v>514</v>
      </c>
      <c r="O87" s="16"/>
      <c r="P87" s="19"/>
      <c r="Q87" s="24"/>
    </row>
    <row r="88" spans="1:17" ht="18.75" customHeight="1" x14ac:dyDescent="0.25">
      <c r="A88" s="16">
        <f t="shared" ca="1" si="3"/>
        <v>-99</v>
      </c>
      <c r="B88" s="71" t="b">
        <v>0</v>
      </c>
      <c r="C88" s="21" t="s">
        <v>166</v>
      </c>
      <c r="D88" s="58"/>
      <c r="E88" s="16"/>
      <c r="F88" s="21" t="s">
        <v>84</v>
      </c>
      <c r="G88" s="21" t="s">
        <v>294</v>
      </c>
      <c r="H88" s="29">
        <v>46050</v>
      </c>
      <c r="I88" s="21" t="s">
        <v>274</v>
      </c>
      <c r="J88" s="21"/>
      <c r="K88" s="23">
        <f t="shared" si="2"/>
        <v>46415</v>
      </c>
      <c r="L88" s="21"/>
      <c r="M88" s="30"/>
      <c r="N88" s="19" t="s">
        <v>515</v>
      </c>
      <c r="O88" s="16"/>
      <c r="P88" s="19"/>
      <c r="Q88" s="24"/>
    </row>
    <row r="89" spans="1:17" ht="18.75" customHeight="1" x14ac:dyDescent="0.25">
      <c r="A89" s="16">
        <f t="shared" ca="1" si="3"/>
        <v>-99</v>
      </c>
      <c r="B89" s="71" t="b">
        <v>0</v>
      </c>
      <c r="C89" s="21" t="s">
        <v>167</v>
      </c>
      <c r="D89" s="58"/>
      <c r="E89" s="16"/>
      <c r="F89" s="21" t="s">
        <v>134</v>
      </c>
      <c r="G89" s="21" t="s">
        <v>294</v>
      </c>
      <c r="H89" s="29">
        <v>46050</v>
      </c>
      <c r="I89" s="21" t="s">
        <v>821</v>
      </c>
      <c r="J89" s="21" t="s">
        <v>278</v>
      </c>
      <c r="K89" s="23">
        <f t="shared" si="2"/>
        <v>46415</v>
      </c>
      <c r="L89" s="21" t="s">
        <v>516</v>
      </c>
      <c r="M89" s="30"/>
      <c r="N89" s="19" t="s">
        <v>495</v>
      </c>
      <c r="O89" s="16"/>
      <c r="P89" s="19"/>
      <c r="Q89" s="24"/>
    </row>
    <row r="90" spans="1:17" ht="18.75" customHeight="1" x14ac:dyDescent="0.25">
      <c r="A90" s="16">
        <f t="shared" ca="1" si="3"/>
        <v>-100</v>
      </c>
      <c r="B90" s="71" t="b">
        <v>0</v>
      </c>
      <c r="C90" s="33" t="s">
        <v>168</v>
      </c>
      <c r="D90" s="40">
        <v>40</v>
      </c>
      <c r="E90" s="50">
        <v>44803</v>
      </c>
      <c r="F90" s="51" t="s">
        <v>86</v>
      </c>
      <c r="G90" s="21" t="s">
        <v>273</v>
      </c>
      <c r="H90" s="29">
        <v>46051</v>
      </c>
      <c r="I90" s="21" t="s">
        <v>274</v>
      </c>
      <c r="J90" s="21"/>
      <c r="K90" s="23">
        <f t="shared" si="2"/>
        <v>46416</v>
      </c>
      <c r="L90" s="21"/>
      <c r="M90" s="30"/>
      <c r="N90" s="31" t="s">
        <v>517</v>
      </c>
      <c r="O90" s="16"/>
      <c r="P90" s="19"/>
      <c r="Q90" s="24"/>
    </row>
    <row r="91" spans="1:17" ht="18.75" customHeight="1" x14ac:dyDescent="0.25">
      <c r="A91" s="16">
        <f t="shared" ca="1" si="3"/>
        <v>-100</v>
      </c>
      <c r="B91" s="71" t="b">
        <v>0</v>
      </c>
      <c r="C91" s="21" t="s">
        <v>169</v>
      </c>
      <c r="D91" s="40">
        <v>45</v>
      </c>
      <c r="E91" s="50">
        <v>44803</v>
      </c>
      <c r="F91" s="51" t="s">
        <v>86</v>
      </c>
      <c r="G91" s="21" t="s">
        <v>273</v>
      </c>
      <c r="H91" s="29">
        <v>46051</v>
      </c>
      <c r="I91" s="21" t="s">
        <v>274</v>
      </c>
      <c r="J91" s="21"/>
      <c r="K91" s="23">
        <f t="shared" si="2"/>
        <v>46416</v>
      </c>
      <c r="L91" s="21"/>
      <c r="M91" s="30"/>
      <c r="N91" s="31" t="s">
        <v>517</v>
      </c>
      <c r="O91" s="16"/>
      <c r="P91" s="19"/>
      <c r="Q91" s="24"/>
    </row>
    <row r="92" spans="1:17" ht="18.75" customHeight="1" x14ac:dyDescent="0.25">
      <c r="A92" s="16">
        <f t="shared" ca="1" si="3"/>
        <v>-106</v>
      </c>
      <c r="B92" s="71" t="b">
        <v>0</v>
      </c>
      <c r="C92" s="21" t="s">
        <v>170</v>
      </c>
      <c r="D92" s="59">
        <v>8.73</v>
      </c>
      <c r="E92" s="26">
        <v>45643</v>
      </c>
      <c r="F92" s="27" t="s">
        <v>15</v>
      </c>
      <c r="G92" s="27" t="s">
        <v>296</v>
      </c>
      <c r="H92" s="29">
        <v>46057</v>
      </c>
      <c r="I92" s="21" t="s">
        <v>825</v>
      </c>
      <c r="J92" s="21"/>
      <c r="K92" s="23">
        <f t="shared" si="2"/>
        <v>46422</v>
      </c>
      <c r="L92" s="21" t="s">
        <v>319</v>
      </c>
      <c r="M92" s="30">
        <v>9123575701</v>
      </c>
      <c r="N92" s="19" t="s">
        <v>518</v>
      </c>
      <c r="O92" s="16"/>
      <c r="P92" s="19"/>
      <c r="Q92" s="24"/>
    </row>
    <row r="93" spans="1:17" ht="18.75" customHeight="1" x14ac:dyDescent="0.25">
      <c r="A93" s="16">
        <f t="shared" ca="1" si="3"/>
        <v>-106</v>
      </c>
      <c r="B93" s="71" t="b">
        <v>0</v>
      </c>
      <c r="C93" s="21" t="s">
        <v>171</v>
      </c>
      <c r="D93" s="59">
        <v>50</v>
      </c>
      <c r="E93" s="26">
        <v>45209</v>
      </c>
      <c r="F93" s="27" t="s">
        <v>15</v>
      </c>
      <c r="G93" s="27" t="s">
        <v>296</v>
      </c>
      <c r="H93" s="29">
        <v>46057</v>
      </c>
      <c r="I93" s="21" t="s">
        <v>827</v>
      </c>
      <c r="J93" s="21"/>
      <c r="K93" s="23">
        <f t="shared" si="2"/>
        <v>46422</v>
      </c>
      <c r="L93" s="21" t="s">
        <v>317</v>
      </c>
      <c r="M93" s="30">
        <v>9849015839</v>
      </c>
      <c r="N93" s="19" t="s">
        <v>519</v>
      </c>
      <c r="O93" s="16"/>
      <c r="P93" s="19"/>
      <c r="Q93" s="24"/>
    </row>
    <row r="94" spans="1:17" ht="18.75" customHeight="1" x14ac:dyDescent="0.25">
      <c r="A94" s="16">
        <f t="shared" ca="1" si="3"/>
        <v>-107</v>
      </c>
      <c r="B94" s="71" t="b">
        <v>0</v>
      </c>
      <c r="C94" s="49" t="s">
        <v>172</v>
      </c>
      <c r="D94" s="58"/>
      <c r="E94" s="16"/>
      <c r="F94" s="21" t="s">
        <v>51</v>
      </c>
      <c r="G94" s="21" t="s">
        <v>269</v>
      </c>
      <c r="H94" s="22">
        <v>46058</v>
      </c>
      <c r="I94" s="21" t="s">
        <v>826</v>
      </c>
      <c r="J94" s="21"/>
      <c r="K94" s="23">
        <f t="shared" si="2"/>
        <v>46423</v>
      </c>
      <c r="L94" s="21" t="s">
        <v>521</v>
      </c>
      <c r="M94" s="30">
        <v>7803800004</v>
      </c>
      <c r="N94" s="19" t="s">
        <v>522</v>
      </c>
      <c r="O94" s="16"/>
      <c r="P94" s="19"/>
      <c r="Q94" s="24"/>
    </row>
    <row r="95" spans="1:17" ht="18.75" customHeight="1" x14ac:dyDescent="0.25">
      <c r="A95" s="16">
        <f t="shared" ca="1" si="3"/>
        <v>-108</v>
      </c>
      <c r="B95" s="71" t="b">
        <v>0</v>
      </c>
      <c r="C95" s="21" t="s">
        <v>173</v>
      </c>
      <c r="D95" s="58"/>
      <c r="E95" s="16"/>
      <c r="F95" s="21" t="s">
        <v>141</v>
      </c>
      <c r="G95" s="21" t="s">
        <v>269</v>
      </c>
      <c r="H95" s="22">
        <v>46059</v>
      </c>
      <c r="I95" s="21" t="s">
        <v>825</v>
      </c>
      <c r="J95" s="21" t="s">
        <v>278</v>
      </c>
      <c r="K95" s="23">
        <f t="shared" si="2"/>
        <v>46424</v>
      </c>
      <c r="L95" s="21" t="s">
        <v>523</v>
      </c>
      <c r="M95" s="30">
        <v>8888301140</v>
      </c>
      <c r="N95" s="19" t="s">
        <v>524</v>
      </c>
      <c r="O95" s="16"/>
      <c r="P95" s="19"/>
      <c r="Q95" s="24"/>
    </row>
    <row r="96" spans="1:17" ht="18.75" customHeight="1" x14ac:dyDescent="0.25">
      <c r="A96" s="16">
        <f t="shared" ca="1" si="3"/>
        <v>-111</v>
      </c>
      <c r="B96" s="71" t="b">
        <v>0</v>
      </c>
      <c r="C96" s="21" t="s">
        <v>174</v>
      </c>
      <c r="D96" s="58"/>
      <c r="E96" s="16"/>
      <c r="F96" s="21" t="s">
        <v>84</v>
      </c>
      <c r="G96" s="21" t="s">
        <v>294</v>
      </c>
      <c r="H96" s="29">
        <v>46062</v>
      </c>
      <c r="I96" s="21" t="s">
        <v>828</v>
      </c>
      <c r="J96" s="21" t="s">
        <v>278</v>
      </c>
      <c r="K96" s="23">
        <f t="shared" si="2"/>
        <v>46427</v>
      </c>
      <c r="L96" s="21"/>
      <c r="M96" s="30"/>
      <c r="N96" s="19" t="s">
        <v>525</v>
      </c>
      <c r="O96" s="16"/>
      <c r="P96" s="19"/>
      <c r="Q96" s="24"/>
    </row>
    <row r="97" spans="1:17" ht="18.75" customHeight="1" x14ac:dyDescent="0.25">
      <c r="A97" s="16">
        <f t="shared" ca="1" si="3"/>
        <v>-111</v>
      </c>
      <c r="B97" s="71" t="b">
        <v>0</v>
      </c>
      <c r="C97" s="21" t="s">
        <v>175</v>
      </c>
      <c r="D97" s="58"/>
      <c r="E97" s="16"/>
      <c r="F97" s="21" t="s">
        <v>84</v>
      </c>
      <c r="G97" s="21" t="s">
        <v>294</v>
      </c>
      <c r="H97" s="29">
        <v>46062</v>
      </c>
      <c r="I97" s="21" t="s">
        <v>828</v>
      </c>
      <c r="J97" s="21" t="s">
        <v>278</v>
      </c>
      <c r="K97" s="23">
        <f t="shared" si="2"/>
        <v>46427</v>
      </c>
      <c r="L97" s="21" t="s">
        <v>526</v>
      </c>
      <c r="M97" s="30"/>
      <c r="N97" s="19" t="s">
        <v>527</v>
      </c>
      <c r="O97" s="16"/>
      <c r="P97" s="19"/>
      <c r="Q97" s="24"/>
    </row>
    <row r="98" spans="1:17" ht="18.75" customHeight="1" x14ac:dyDescent="0.25">
      <c r="A98" s="16">
        <f t="shared" ca="1" si="3"/>
        <v>-112</v>
      </c>
      <c r="B98" s="71" t="b">
        <v>0</v>
      </c>
      <c r="C98" s="21" t="s">
        <v>176</v>
      </c>
      <c r="D98" s="35">
        <v>121</v>
      </c>
      <c r="E98" s="36">
        <v>45644</v>
      </c>
      <c r="F98" s="37" t="s">
        <v>19</v>
      </c>
      <c r="G98" s="21" t="s">
        <v>298</v>
      </c>
      <c r="H98" s="29">
        <v>46063</v>
      </c>
      <c r="I98" s="21" t="s">
        <v>821</v>
      </c>
      <c r="J98" s="21" t="s">
        <v>278</v>
      </c>
      <c r="K98" s="23">
        <f t="shared" si="2"/>
        <v>46428</v>
      </c>
      <c r="L98" s="21" t="s">
        <v>528</v>
      </c>
      <c r="M98" s="30">
        <v>9371642430</v>
      </c>
      <c r="N98" s="19" t="s">
        <v>529</v>
      </c>
      <c r="O98" s="16"/>
      <c r="P98" s="19"/>
      <c r="Q98" s="24"/>
    </row>
    <row r="99" spans="1:17" ht="18.75" customHeight="1" x14ac:dyDescent="0.25">
      <c r="A99" s="16">
        <f t="shared" ca="1" si="3"/>
        <v>-112</v>
      </c>
      <c r="B99" s="71" t="b">
        <v>0</v>
      </c>
      <c r="C99" s="21" t="s">
        <v>177</v>
      </c>
      <c r="D99" s="58"/>
      <c r="E99" s="16"/>
      <c r="F99" s="21" t="s">
        <v>120</v>
      </c>
      <c r="G99" s="21" t="s">
        <v>269</v>
      </c>
      <c r="H99" s="22">
        <v>46063</v>
      </c>
      <c r="I99" s="21" t="s">
        <v>274</v>
      </c>
      <c r="J99" s="21" t="s">
        <v>274</v>
      </c>
      <c r="K99" s="23">
        <f t="shared" si="2"/>
        <v>46428</v>
      </c>
      <c r="L99" s="21" t="s">
        <v>530</v>
      </c>
      <c r="M99" s="30">
        <v>9586792404</v>
      </c>
      <c r="N99" s="19" t="s">
        <v>531</v>
      </c>
      <c r="O99" s="16"/>
      <c r="P99" s="19"/>
      <c r="Q99" s="24"/>
    </row>
    <row r="100" spans="1:17" ht="18.75" customHeight="1" x14ac:dyDescent="0.25">
      <c r="A100" s="16">
        <f t="shared" ca="1" si="3"/>
        <v>-114</v>
      </c>
      <c r="B100" s="71" t="b">
        <v>0</v>
      </c>
      <c r="C100" s="49" t="s">
        <v>857</v>
      </c>
      <c r="D100" s="63">
        <v>817.9</v>
      </c>
      <c r="E100" s="1"/>
      <c r="F100" s="65" t="s">
        <v>86</v>
      </c>
      <c r="G100" s="65" t="s">
        <v>273</v>
      </c>
      <c r="H100" s="29">
        <v>46065</v>
      </c>
      <c r="I100" s="21" t="s">
        <v>274</v>
      </c>
      <c r="J100" s="21"/>
      <c r="K100" s="23">
        <f t="shared" si="2"/>
        <v>46430</v>
      </c>
      <c r="L100" s="65"/>
      <c r="M100" s="9"/>
      <c r="N100" s="8"/>
      <c r="O100" s="1"/>
      <c r="P100" s="8"/>
      <c r="Q100" s="24"/>
    </row>
    <row r="101" spans="1:17" ht="18.75" customHeight="1" x14ac:dyDescent="0.25">
      <c r="A101" s="16">
        <f t="shared" ca="1" si="3"/>
        <v>-121</v>
      </c>
      <c r="B101" s="71" t="b">
        <v>0</v>
      </c>
      <c r="C101" s="21" t="s">
        <v>862</v>
      </c>
      <c r="D101" s="63">
        <v>110</v>
      </c>
      <c r="E101" s="1"/>
      <c r="F101" s="65" t="s">
        <v>863</v>
      </c>
      <c r="G101" s="65" t="s">
        <v>296</v>
      </c>
      <c r="H101" s="29">
        <v>46072</v>
      </c>
      <c r="I101" s="21" t="s">
        <v>821</v>
      </c>
      <c r="J101" s="21"/>
      <c r="K101" s="23">
        <f t="shared" si="2"/>
        <v>46437</v>
      </c>
      <c r="L101" s="65" t="s">
        <v>864</v>
      </c>
      <c r="M101" s="9">
        <v>9704333471</v>
      </c>
      <c r="N101" s="8" t="s">
        <v>865</v>
      </c>
      <c r="O101" s="1"/>
      <c r="P101" s="8"/>
      <c r="Q101" s="24"/>
    </row>
    <row r="102" spans="1:17" ht="18.75" customHeight="1" x14ac:dyDescent="0.25">
      <c r="A102" s="16">
        <f t="shared" ca="1" si="3"/>
        <v>-122</v>
      </c>
      <c r="B102" s="71" t="b">
        <v>0</v>
      </c>
      <c r="C102" s="21" t="s">
        <v>178</v>
      </c>
      <c r="D102" s="59">
        <v>185</v>
      </c>
      <c r="E102" s="26" t="s">
        <v>532</v>
      </c>
      <c r="F102" s="27" t="s">
        <v>23</v>
      </c>
      <c r="G102" s="28" t="s">
        <v>273</v>
      </c>
      <c r="H102" s="29">
        <v>46073</v>
      </c>
      <c r="I102" s="21" t="s">
        <v>823</v>
      </c>
      <c r="J102" s="21" t="s">
        <v>278</v>
      </c>
      <c r="K102" s="23">
        <f t="shared" si="2"/>
        <v>46438</v>
      </c>
      <c r="L102" s="21" t="s">
        <v>375</v>
      </c>
      <c r="M102" s="30">
        <v>8800203338</v>
      </c>
      <c r="N102" s="19" t="s">
        <v>533</v>
      </c>
      <c r="O102" s="16"/>
      <c r="P102" s="19"/>
      <c r="Q102" s="24"/>
    </row>
    <row r="103" spans="1:17" ht="18.75" customHeight="1" x14ac:dyDescent="0.25">
      <c r="A103" s="16">
        <f t="shared" ca="1" si="3"/>
        <v>-127</v>
      </c>
      <c r="B103" s="71" t="b">
        <v>0</v>
      </c>
      <c r="C103" s="21" t="s">
        <v>179</v>
      </c>
      <c r="D103" s="58"/>
      <c r="E103" s="16"/>
      <c r="F103" s="21" t="s">
        <v>134</v>
      </c>
      <c r="G103" s="21" t="s">
        <v>294</v>
      </c>
      <c r="H103" s="29">
        <v>46078</v>
      </c>
      <c r="I103" s="21" t="s">
        <v>274</v>
      </c>
      <c r="J103" s="21" t="s">
        <v>274</v>
      </c>
      <c r="K103" s="23">
        <f t="shared" si="2"/>
        <v>46443</v>
      </c>
      <c r="L103" s="21" t="s">
        <v>534</v>
      </c>
      <c r="M103" s="30"/>
      <c r="N103" s="19" t="s">
        <v>535</v>
      </c>
      <c r="O103" s="16"/>
      <c r="P103" s="19"/>
      <c r="Q103" s="24"/>
    </row>
    <row r="104" spans="1:17" ht="18.75" customHeight="1" x14ac:dyDescent="0.25">
      <c r="A104" s="16">
        <f t="shared" ca="1" si="3"/>
        <v>-128</v>
      </c>
      <c r="B104" s="71" t="b">
        <v>0</v>
      </c>
      <c r="C104" s="65" t="s">
        <v>810</v>
      </c>
      <c r="D104" s="63">
        <v>272.5</v>
      </c>
      <c r="E104" s="1"/>
      <c r="F104" s="27" t="s">
        <v>6</v>
      </c>
      <c r="G104" s="21" t="s">
        <v>273</v>
      </c>
      <c r="H104" s="64">
        <v>46079</v>
      </c>
      <c r="I104" s="21" t="s">
        <v>820</v>
      </c>
      <c r="J104" s="21" t="s">
        <v>272</v>
      </c>
      <c r="K104" s="66">
        <f t="shared" si="2"/>
        <v>46444</v>
      </c>
      <c r="L104" s="65" t="s">
        <v>811</v>
      </c>
      <c r="M104" s="9" t="s">
        <v>812</v>
      </c>
      <c r="N104" s="31" t="s">
        <v>813</v>
      </c>
      <c r="O104" s="1"/>
      <c r="P104" s="8"/>
      <c r="Q104" s="67"/>
    </row>
    <row r="105" spans="1:17" ht="18.75" customHeight="1" x14ac:dyDescent="0.25">
      <c r="A105" s="16">
        <f t="shared" ca="1" si="3"/>
        <v>-129</v>
      </c>
      <c r="B105" s="71" t="b">
        <v>0</v>
      </c>
      <c r="C105" s="21" t="s">
        <v>183</v>
      </c>
      <c r="D105" s="58"/>
      <c r="E105" s="16"/>
      <c r="F105" s="21" t="s">
        <v>84</v>
      </c>
      <c r="G105" s="21" t="s">
        <v>294</v>
      </c>
      <c r="H105" s="29">
        <v>46080</v>
      </c>
      <c r="I105" s="21" t="s">
        <v>826</v>
      </c>
      <c r="J105" s="21" t="s">
        <v>278</v>
      </c>
      <c r="K105" s="23">
        <f t="shared" si="2"/>
        <v>46445</v>
      </c>
      <c r="L105" s="21" t="s">
        <v>539</v>
      </c>
      <c r="M105" s="30"/>
      <c r="N105" s="19" t="s">
        <v>540</v>
      </c>
      <c r="O105" s="16"/>
      <c r="P105" s="19"/>
      <c r="Q105" s="24"/>
    </row>
    <row r="106" spans="1:17" ht="18.75" customHeight="1" x14ac:dyDescent="0.25">
      <c r="A106" s="16">
        <f t="shared" ca="1" si="3"/>
        <v>-129</v>
      </c>
      <c r="B106" s="71" t="b">
        <v>0</v>
      </c>
      <c r="C106" s="21" t="s">
        <v>184</v>
      </c>
      <c r="D106" s="58"/>
      <c r="E106" s="16"/>
      <c r="F106" s="21" t="s">
        <v>84</v>
      </c>
      <c r="G106" s="21" t="s">
        <v>294</v>
      </c>
      <c r="H106" s="29">
        <v>46080</v>
      </c>
      <c r="I106" s="21" t="s">
        <v>828</v>
      </c>
      <c r="J106" s="21" t="s">
        <v>278</v>
      </c>
      <c r="K106" s="23">
        <f t="shared" si="2"/>
        <v>46445</v>
      </c>
      <c r="L106" s="21"/>
      <c r="M106" s="30"/>
      <c r="N106" s="19" t="s">
        <v>541</v>
      </c>
      <c r="O106" s="16"/>
      <c r="P106" s="19"/>
      <c r="Q106" s="24"/>
    </row>
    <row r="107" spans="1:17" ht="18.75" customHeight="1" x14ac:dyDescent="0.25">
      <c r="A107" s="16">
        <f t="shared" ca="1" si="3"/>
        <v>-132</v>
      </c>
      <c r="B107" s="71" t="b">
        <v>0</v>
      </c>
      <c r="C107" s="21" t="s">
        <v>185</v>
      </c>
      <c r="D107" s="59">
        <v>32.35</v>
      </c>
      <c r="E107" s="26">
        <v>45233</v>
      </c>
      <c r="F107" s="27" t="s">
        <v>15</v>
      </c>
      <c r="G107" s="27" t="s">
        <v>296</v>
      </c>
      <c r="H107" s="29">
        <v>46083</v>
      </c>
      <c r="I107" s="21" t="s">
        <v>825</v>
      </c>
      <c r="J107" s="21"/>
      <c r="K107" s="23">
        <f t="shared" si="2"/>
        <v>46448</v>
      </c>
      <c r="L107" s="21" t="s">
        <v>323</v>
      </c>
      <c r="M107" s="30">
        <v>9819090487</v>
      </c>
      <c r="N107" s="19" t="s">
        <v>544</v>
      </c>
      <c r="O107" s="16"/>
      <c r="P107" s="19"/>
      <c r="Q107" s="24"/>
    </row>
    <row r="108" spans="1:17" ht="18.75" customHeight="1" x14ac:dyDescent="0.25">
      <c r="A108" s="16">
        <f t="shared" ca="1" si="3"/>
        <v>-132</v>
      </c>
      <c r="B108" s="71" t="b">
        <v>0</v>
      </c>
      <c r="C108" s="21" t="s">
        <v>186</v>
      </c>
      <c r="D108" s="59">
        <v>42.95</v>
      </c>
      <c r="E108" s="26">
        <v>45236</v>
      </c>
      <c r="F108" s="27" t="s">
        <v>15</v>
      </c>
      <c r="G108" s="27" t="s">
        <v>296</v>
      </c>
      <c r="H108" s="29">
        <v>46083</v>
      </c>
      <c r="I108" s="21" t="s">
        <v>826</v>
      </c>
      <c r="J108" s="21"/>
      <c r="K108" s="23">
        <f t="shared" si="2"/>
        <v>46448</v>
      </c>
      <c r="L108" s="21" t="s">
        <v>325</v>
      </c>
      <c r="M108" s="30">
        <v>8985075002</v>
      </c>
      <c r="N108" s="19" t="s">
        <v>545</v>
      </c>
      <c r="O108" s="16"/>
      <c r="P108" s="19"/>
      <c r="Q108" s="24"/>
    </row>
    <row r="109" spans="1:17" ht="18.75" customHeight="1" x14ac:dyDescent="0.25">
      <c r="A109" s="16">
        <f t="shared" ca="1" si="3"/>
        <v>-134</v>
      </c>
      <c r="B109" s="71" t="b">
        <v>0</v>
      </c>
      <c r="C109" s="21" t="s">
        <v>187</v>
      </c>
      <c r="D109" s="58"/>
      <c r="E109" s="16"/>
      <c r="F109" s="21" t="s">
        <v>70</v>
      </c>
      <c r="G109" s="21" t="s">
        <v>294</v>
      </c>
      <c r="H109" s="29">
        <v>46085</v>
      </c>
      <c r="I109" s="21" t="s">
        <v>274</v>
      </c>
      <c r="J109" s="21" t="s">
        <v>274</v>
      </c>
      <c r="K109" s="23">
        <f t="shared" si="2"/>
        <v>46450</v>
      </c>
      <c r="L109" s="21" t="s">
        <v>546</v>
      </c>
      <c r="M109" s="30"/>
      <c r="N109" s="19" t="s">
        <v>547</v>
      </c>
      <c r="O109" s="16"/>
      <c r="P109" s="19"/>
      <c r="Q109" s="24"/>
    </row>
    <row r="110" spans="1:17" ht="18.75" customHeight="1" x14ac:dyDescent="0.25">
      <c r="A110" s="16">
        <f t="shared" ca="1" si="3"/>
        <v>-135</v>
      </c>
      <c r="B110" s="71" t="b">
        <v>0</v>
      </c>
      <c r="C110" s="21" t="s">
        <v>188</v>
      </c>
      <c r="D110" s="40">
        <v>18.41</v>
      </c>
      <c r="E110" s="26">
        <v>45677</v>
      </c>
      <c r="F110" s="33" t="s">
        <v>29</v>
      </c>
      <c r="G110" s="28" t="s">
        <v>273</v>
      </c>
      <c r="H110" s="29">
        <v>46086</v>
      </c>
      <c r="I110" s="21" t="s">
        <v>823</v>
      </c>
      <c r="J110" s="21"/>
      <c r="K110" s="23">
        <f t="shared" si="2"/>
        <v>46451</v>
      </c>
      <c r="L110" s="21"/>
      <c r="M110" s="30"/>
      <c r="N110" s="19" t="s">
        <v>548</v>
      </c>
      <c r="O110" s="16"/>
      <c r="P110" s="19"/>
      <c r="Q110" s="24"/>
    </row>
    <row r="111" spans="1:17" ht="18.75" customHeight="1" x14ac:dyDescent="0.25">
      <c r="A111" s="16">
        <f t="shared" ca="1" si="3"/>
        <v>-136</v>
      </c>
      <c r="B111" s="71" t="b">
        <v>0</v>
      </c>
      <c r="C111" s="21" t="s">
        <v>882</v>
      </c>
      <c r="D111" s="58">
        <v>18.97</v>
      </c>
      <c r="E111" s="16"/>
      <c r="F111" s="21" t="s">
        <v>114</v>
      </c>
      <c r="G111" s="21" t="s">
        <v>296</v>
      </c>
      <c r="H111" s="29">
        <v>46087</v>
      </c>
      <c r="I111" s="21" t="s">
        <v>825</v>
      </c>
      <c r="J111" s="21"/>
      <c r="K111" s="23">
        <f t="shared" si="2"/>
        <v>46452</v>
      </c>
      <c r="L111" s="21" t="s">
        <v>883</v>
      </c>
      <c r="M111" s="30">
        <v>9345363064</v>
      </c>
      <c r="N111" s="19" t="s">
        <v>884</v>
      </c>
      <c r="O111" s="16"/>
      <c r="P111" s="19"/>
      <c r="Q111" s="24"/>
    </row>
    <row r="112" spans="1:17" ht="18.75" customHeight="1" x14ac:dyDescent="0.25">
      <c r="A112" s="16">
        <f t="shared" ca="1" si="3"/>
        <v>-136</v>
      </c>
      <c r="B112" s="71" t="b">
        <v>0</v>
      </c>
      <c r="C112" s="21" t="s">
        <v>189</v>
      </c>
      <c r="D112" s="58"/>
      <c r="E112" s="16"/>
      <c r="F112" s="21" t="s">
        <v>51</v>
      </c>
      <c r="G112" s="21" t="s">
        <v>269</v>
      </c>
      <c r="H112" s="22">
        <v>46087</v>
      </c>
      <c r="I112" s="21" t="s">
        <v>825</v>
      </c>
      <c r="J112" s="21"/>
      <c r="K112" s="23">
        <f t="shared" si="2"/>
        <v>46452</v>
      </c>
      <c r="L112" s="21" t="s">
        <v>549</v>
      </c>
      <c r="M112" s="30">
        <v>9042850999</v>
      </c>
      <c r="N112" s="19" t="s">
        <v>550</v>
      </c>
      <c r="O112" s="16"/>
      <c r="P112" s="19"/>
      <c r="Q112" s="24"/>
    </row>
    <row r="113" spans="1:17" ht="18.75" customHeight="1" x14ac:dyDescent="0.25">
      <c r="A113" s="16">
        <f t="shared" ca="1" si="3"/>
        <v>-139</v>
      </c>
      <c r="B113" s="71" t="b">
        <v>0</v>
      </c>
      <c r="C113" s="21" t="s">
        <v>190</v>
      </c>
      <c r="D113" s="58"/>
      <c r="E113" s="16"/>
      <c r="F113" s="21" t="s">
        <v>120</v>
      </c>
      <c r="G113" s="21" t="s">
        <v>269</v>
      </c>
      <c r="H113" s="22">
        <v>46090</v>
      </c>
      <c r="I113" s="21" t="s">
        <v>821</v>
      </c>
      <c r="J113" s="21" t="s">
        <v>278</v>
      </c>
      <c r="K113" s="23">
        <f t="shared" si="2"/>
        <v>46455</v>
      </c>
      <c r="L113" s="21" t="s">
        <v>551</v>
      </c>
      <c r="M113" s="30">
        <v>9414586691</v>
      </c>
      <c r="N113" s="19" t="s">
        <v>552</v>
      </c>
      <c r="O113" s="16"/>
      <c r="P113" s="19"/>
      <c r="Q113" s="24"/>
    </row>
    <row r="114" spans="1:17" ht="18.75" customHeight="1" x14ac:dyDescent="0.25">
      <c r="A114" s="16">
        <f t="shared" ca="1" si="3"/>
        <v>-140</v>
      </c>
      <c r="B114" s="71" t="b">
        <v>0</v>
      </c>
      <c r="C114" s="21" t="s">
        <v>191</v>
      </c>
      <c r="D114" s="58">
        <v>247</v>
      </c>
      <c r="E114" s="16"/>
      <c r="F114" s="21" t="s">
        <v>141</v>
      </c>
      <c r="G114" s="21" t="s">
        <v>269</v>
      </c>
      <c r="H114" s="29">
        <v>46091</v>
      </c>
      <c r="I114" s="21" t="s">
        <v>823</v>
      </c>
      <c r="J114" s="21" t="s">
        <v>278</v>
      </c>
      <c r="K114" s="23">
        <f t="shared" si="2"/>
        <v>46456</v>
      </c>
      <c r="L114" s="21" t="s">
        <v>553</v>
      </c>
      <c r="M114" s="30" t="s">
        <v>898</v>
      </c>
      <c r="N114" s="31" t="s">
        <v>554</v>
      </c>
      <c r="O114" s="16"/>
      <c r="P114" s="19"/>
      <c r="Q114" s="24"/>
    </row>
    <row r="115" spans="1:17" ht="18.75" customHeight="1" x14ac:dyDescent="0.25">
      <c r="A115" s="16">
        <f t="shared" ca="1" si="3"/>
        <v>-140</v>
      </c>
      <c r="B115" s="71" t="b">
        <v>0</v>
      </c>
      <c r="C115" s="21" t="s">
        <v>191</v>
      </c>
      <c r="D115" s="58">
        <v>247</v>
      </c>
      <c r="E115" s="16"/>
      <c r="F115" s="21" t="s">
        <v>141</v>
      </c>
      <c r="G115" s="21" t="s">
        <v>269</v>
      </c>
      <c r="H115" s="22">
        <v>46091</v>
      </c>
      <c r="I115" s="21" t="s">
        <v>823</v>
      </c>
      <c r="J115" s="21" t="s">
        <v>278</v>
      </c>
      <c r="K115" s="23">
        <f t="shared" si="2"/>
        <v>46456</v>
      </c>
      <c r="L115" s="21" t="s">
        <v>553</v>
      </c>
      <c r="M115" s="30">
        <v>9225628015</v>
      </c>
      <c r="N115" s="31" t="s">
        <v>554</v>
      </c>
      <c r="O115" s="16"/>
      <c r="P115" s="19"/>
      <c r="Q115" s="24"/>
    </row>
    <row r="116" spans="1:17" ht="18.75" customHeight="1" x14ac:dyDescent="0.25">
      <c r="A116" s="16">
        <f t="shared" ca="1" si="3"/>
        <v>-143</v>
      </c>
      <c r="B116" s="71" t="b">
        <v>0</v>
      </c>
      <c r="C116" s="21" t="s">
        <v>885</v>
      </c>
      <c r="D116" s="58">
        <v>134.62</v>
      </c>
      <c r="E116" s="16"/>
      <c r="F116" s="21" t="s">
        <v>114</v>
      </c>
      <c r="G116" s="21" t="s">
        <v>296</v>
      </c>
      <c r="H116" s="29">
        <v>46094</v>
      </c>
      <c r="I116" s="21" t="s">
        <v>821</v>
      </c>
      <c r="J116" s="21"/>
      <c r="K116" s="23">
        <f t="shared" si="2"/>
        <v>46459</v>
      </c>
      <c r="L116" s="21" t="s">
        <v>886</v>
      </c>
      <c r="M116" s="30">
        <v>9848076186</v>
      </c>
      <c r="N116" s="19" t="s">
        <v>887</v>
      </c>
      <c r="O116" s="16"/>
      <c r="P116" s="19"/>
      <c r="Q116" s="24"/>
    </row>
    <row r="117" spans="1:17" ht="18.75" customHeight="1" x14ac:dyDescent="0.25">
      <c r="A117" s="16">
        <f t="shared" ca="1" si="3"/>
        <v>-146</v>
      </c>
      <c r="B117" s="71" t="b">
        <v>0</v>
      </c>
      <c r="C117" s="21" t="s">
        <v>192</v>
      </c>
      <c r="D117" s="59">
        <v>140</v>
      </c>
      <c r="E117" s="26" t="s">
        <v>555</v>
      </c>
      <c r="F117" s="27" t="s">
        <v>23</v>
      </c>
      <c r="G117" s="28" t="s">
        <v>273</v>
      </c>
      <c r="H117" s="29">
        <v>46097</v>
      </c>
      <c r="I117" s="21" t="s">
        <v>274</v>
      </c>
      <c r="J117" s="21"/>
      <c r="K117" s="23">
        <f t="shared" si="2"/>
        <v>46462</v>
      </c>
      <c r="L117" s="21"/>
      <c r="M117" s="30"/>
      <c r="N117" s="19" t="s">
        <v>556</v>
      </c>
      <c r="O117" s="16"/>
      <c r="P117" s="19"/>
      <c r="Q117" s="24"/>
    </row>
    <row r="118" spans="1:17" ht="18.75" customHeight="1" x14ac:dyDescent="0.25">
      <c r="A118" s="16">
        <f t="shared" ca="1" si="3"/>
        <v>-146</v>
      </c>
      <c r="B118" s="71" t="b">
        <v>0</v>
      </c>
      <c r="C118" s="21" t="s">
        <v>193</v>
      </c>
      <c r="D118" s="59">
        <v>30</v>
      </c>
      <c r="E118" s="26" t="s">
        <v>289</v>
      </c>
      <c r="F118" s="27" t="s">
        <v>23</v>
      </c>
      <c r="G118" s="28" t="s">
        <v>273</v>
      </c>
      <c r="H118" s="29">
        <v>46097</v>
      </c>
      <c r="I118" s="21" t="s">
        <v>274</v>
      </c>
      <c r="J118" s="21"/>
      <c r="K118" s="23">
        <f t="shared" si="2"/>
        <v>46462</v>
      </c>
      <c r="L118" s="21"/>
      <c r="M118" s="30"/>
      <c r="N118" s="19" t="s">
        <v>557</v>
      </c>
      <c r="O118" s="16"/>
      <c r="P118" s="19"/>
      <c r="Q118" s="24"/>
    </row>
    <row r="119" spans="1:17" ht="18.75" customHeight="1" x14ac:dyDescent="0.25">
      <c r="A119" s="16">
        <f t="shared" ca="1" si="3"/>
        <v>-146</v>
      </c>
      <c r="B119" s="71" t="b">
        <v>0</v>
      </c>
      <c r="C119" s="21" t="s">
        <v>866</v>
      </c>
      <c r="D119" s="58">
        <v>52.83</v>
      </c>
      <c r="E119" s="16"/>
      <c r="F119" s="37" t="s">
        <v>19</v>
      </c>
      <c r="G119" s="21" t="s">
        <v>269</v>
      </c>
      <c r="H119" s="22">
        <v>46097</v>
      </c>
      <c r="I119" s="21" t="s">
        <v>820</v>
      </c>
      <c r="J119" s="21" t="s">
        <v>272</v>
      </c>
      <c r="K119" s="23">
        <f t="shared" si="2"/>
        <v>46462</v>
      </c>
      <c r="L119" s="21" t="s">
        <v>867</v>
      </c>
      <c r="M119" s="30">
        <v>8976597639</v>
      </c>
      <c r="N119" s="19" t="s">
        <v>868</v>
      </c>
      <c r="O119" s="16"/>
      <c r="P119" s="19"/>
      <c r="Q119" s="24"/>
    </row>
    <row r="120" spans="1:17" ht="18.75" customHeight="1" x14ac:dyDescent="0.25">
      <c r="A120" s="16">
        <f t="shared" ca="1" si="3"/>
        <v>-155</v>
      </c>
      <c r="B120" s="71" t="b">
        <v>0</v>
      </c>
      <c r="C120" s="21" t="s">
        <v>873</v>
      </c>
      <c r="D120" s="59">
        <v>20</v>
      </c>
      <c r="E120" s="26">
        <v>45769</v>
      </c>
      <c r="F120" s="27" t="s">
        <v>6</v>
      </c>
      <c r="G120" s="27" t="s">
        <v>269</v>
      </c>
      <c r="H120" s="29">
        <v>46106</v>
      </c>
      <c r="I120" s="21" t="s">
        <v>820</v>
      </c>
      <c r="J120" s="21" t="s">
        <v>272</v>
      </c>
      <c r="K120" s="23">
        <f t="shared" si="2"/>
        <v>46471</v>
      </c>
      <c r="L120" s="33" t="s">
        <v>874</v>
      </c>
      <c r="M120" s="32" t="s">
        <v>875</v>
      </c>
      <c r="N120" s="42" t="s">
        <v>876</v>
      </c>
      <c r="O120" s="16"/>
      <c r="P120" s="19"/>
      <c r="Q120" s="24"/>
    </row>
    <row r="121" spans="1:17" ht="18.75" customHeight="1" x14ac:dyDescent="0.25">
      <c r="A121" s="16">
        <f t="shared" ca="1" si="3"/>
        <v>-155</v>
      </c>
      <c r="B121" s="71" t="b">
        <v>0</v>
      </c>
      <c r="C121" s="21" t="s">
        <v>194</v>
      </c>
      <c r="D121" s="58"/>
      <c r="E121" s="16"/>
      <c r="F121" s="21" t="s">
        <v>120</v>
      </c>
      <c r="G121" s="21" t="s">
        <v>269</v>
      </c>
      <c r="H121" s="22">
        <v>46106</v>
      </c>
      <c r="I121" s="21" t="s">
        <v>274</v>
      </c>
      <c r="J121" s="21" t="s">
        <v>274</v>
      </c>
      <c r="K121" s="23">
        <f t="shared" si="2"/>
        <v>46471</v>
      </c>
      <c r="L121" s="21" t="s">
        <v>558</v>
      </c>
      <c r="M121" s="30">
        <v>8800090424</v>
      </c>
      <c r="N121" s="19" t="s">
        <v>559</v>
      </c>
      <c r="O121" s="16"/>
      <c r="P121" s="19"/>
      <c r="Q121" s="24"/>
    </row>
    <row r="122" spans="1:17" ht="18.75" customHeight="1" x14ac:dyDescent="0.25">
      <c r="A122" s="16">
        <f t="shared" ca="1" si="3"/>
        <v>-155</v>
      </c>
      <c r="B122" s="71" t="b">
        <v>0</v>
      </c>
      <c r="C122" s="21" t="s">
        <v>195</v>
      </c>
      <c r="D122" s="58"/>
      <c r="E122" s="16"/>
      <c r="F122" s="21" t="s">
        <v>120</v>
      </c>
      <c r="G122" s="21" t="s">
        <v>269</v>
      </c>
      <c r="H122" s="22">
        <v>46106</v>
      </c>
      <c r="I122" s="21" t="s">
        <v>274</v>
      </c>
      <c r="J122" s="21"/>
      <c r="K122" s="23">
        <f t="shared" si="2"/>
        <v>46471</v>
      </c>
      <c r="L122" s="21" t="s">
        <v>558</v>
      </c>
      <c r="M122" s="30">
        <v>8800090424</v>
      </c>
      <c r="N122" s="19" t="s">
        <v>559</v>
      </c>
      <c r="O122" s="16"/>
      <c r="P122" s="19"/>
      <c r="Q122" s="24"/>
    </row>
    <row r="123" spans="1:17" ht="18.75" customHeight="1" x14ac:dyDescent="0.25">
      <c r="A123" s="16">
        <f t="shared" ca="1" si="3"/>
        <v>-156</v>
      </c>
      <c r="B123" s="71" t="b">
        <v>0</v>
      </c>
      <c r="C123" s="49" t="s">
        <v>858</v>
      </c>
      <c r="D123" s="58"/>
      <c r="E123" s="16"/>
      <c r="F123" s="21" t="s">
        <v>134</v>
      </c>
      <c r="G123" s="21" t="s">
        <v>294</v>
      </c>
      <c r="H123" s="29">
        <v>46107</v>
      </c>
      <c r="I123" s="21" t="s">
        <v>825</v>
      </c>
      <c r="J123" s="21"/>
      <c r="K123" s="23">
        <f t="shared" si="2"/>
        <v>46472</v>
      </c>
      <c r="L123" s="21" t="s">
        <v>560</v>
      </c>
      <c r="M123" s="30"/>
      <c r="N123" s="19" t="s">
        <v>561</v>
      </c>
      <c r="O123" s="16"/>
      <c r="P123" s="19"/>
      <c r="Q123" s="24"/>
    </row>
    <row r="124" spans="1:17" ht="18.75" customHeight="1" x14ac:dyDescent="0.25">
      <c r="A124" s="16">
        <f t="shared" ca="1" si="3"/>
        <v>-160</v>
      </c>
      <c r="B124" s="71" t="b">
        <v>0</v>
      </c>
      <c r="C124" s="21" t="s">
        <v>196</v>
      </c>
      <c r="D124" s="58"/>
      <c r="E124" s="16"/>
      <c r="F124" s="21" t="s">
        <v>120</v>
      </c>
      <c r="G124" s="21" t="s">
        <v>269</v>
      </c>
      <c r="H124" s="22">
        <v>46111</v>
      </c>
      <c r="I124" s="21" t="s">
        <v>829</v>
      </c>
      <c r="J124" s="21"/>
      <c r="K124" s="23">
        <f t="shared" si="2"/>
        <v>46476</v>
      </c>
      <c r="L124" s="21" t="s">
        <v>558</v>
      </c>
      <c r="M124" s="30">
        <v>8800090424</v>
      </c>
      <c r="N124" s="19" t="s">
        <v>559</v>
      </c>
      <c r="O124" s="16"/>
      <c r="P124" s="19"/>
      <c r="Q124" s="24"/>
    </row>
    <row r="125" spans="1:17" ht="18.75" customHeight="1" x14ac:dyDescent="0.25">
      <c r="A125" s="16">
        <f t="shared" ca="1" si="3"/>
        <v>-160</v>
      </c>
      <c r="B125" s="71" t="b">
        <v>0</v>
      </c>
      <c r="C125" s="21" t="s">
        <v>197</v>
      </c>
      <c r="D125" s="58"/>
      <c r="E125" s="16"/>
      <c r="F125" s="21" t="s">
        <v>51</v>
      </c>
      <c r="G125" s="21" t="s">
        <v>269</v>
      </c>
      <c r="H125" s="22">
        <v>46111</v>
      </c>
      <c r="I125" s="21" t="s">
        <v>825</v>
      </c>
      <c r="J125" s="21"/>
      <c r="K125" s="23">
        <f t="shared" si="2"/>
        <v>46476</v>
      </c>
      <c r="L125" s="21" t="s">
        <v>449</v>
      </c>
      <c r="M125" s="30">
        <v>9179018884</v>
      </c>
      <c r="N125" s="19" t="s">
        <v>450</v>
      </c>
      <c r="O125" s="16"/>
      <c r="P125" s="19"/>
      <c r="Q125" s="24"/>
    </row>
    <row r="126" spans="1:17" ht="18.75" customHeight="1" x14ac:dyDescent="0.25">
      <c r="A126" s="16">
        <f t="shared" ca="1" si="3"/>
        <v>-160</v>
      </c>
      <c r="B126" s="71" t="b">
        <v>0</v>
      </c>
      <c r="C126" s="21" t="s">
        <v>198</v>
      </c>
      <c r="D126" s="58"/>
      <c r="E126" s="16"/>
      <c r="F126" s="21" t="s">
        <v>120</v>
      </c>
      <c r="G126" s="21" t="s">
        <v>269</v>
      </c>
      <c r="H126" s="22">
        <v>46111</v>
      </c>
      <c r="I126" s="21" t="s">
        <v>821</v>
      </c>
      <c r="J126" s="21" t="s">
        <v>278</v>
      </c>
      <c r="K126" s="23">
        <f t="shared" si="2"/>
        <v>46476</v>
      </c>
      <c r="L126" s="21" t="s">
        <v>564</v>
      </c>
      <c r="M126" s="30">
        <v>9989773461</v>
      </c>
      <c r="N126" s="19" t="s">
        <v>565</v>
      </c>
      <c r="O126" s="16"/>
      <c r="P126" s="19"/>
      <c r="Q126" s="24"/>
    </row>
    <row r="127" spans="1:17" ht="18.75" customHeight="1" x14ac:dyDescent="0.25">
      <c r="A127" s="16">
        <f t="shared" ca="1" si="3"/>
        <v>-160</v>
      </c>
      <c r="B127" s="71" t="b">
        <v>0</v>
      </c>
      <c r="C127" s="49" t="s">
        <v>199</v>
      </c>
      <c r="D127" s="58"/>
      <c r="E127" s="16"/>
      <c r="F127" s="21" t="s">
        <v>51</v>
      </c>
      <c r="G127" s="21" t="s">
        <v>269</v>
      </c>
      <c r="H127" s="22">
        <v>46111</v>
      </c>
      <c r="I127" s="21" t="s">
        <v>274</v>
      </c>
      <c r="J127" s="21"/>
      <c r="K127" s="23">
        <f t="shared" si="2"/>
        <v>46476</v>
      </c>
      <c r="L127" s="21" t="s">
        <v>562</v>
      </c>
      <c r="M127" s="30">
        <v>9663692990</v>
      </c>
      <c r="N127" s="19" t="s">
        <v>563</v>
      </c>
      <c r="O127" s="16"/>
      <c r="P127" s="19"/>
      <c r="Q127" s="24"/>
    </row>
    <row r="128" spans="1:17" ht="18.75" customHeight="1" x14ac:dyDescent="0.25">
      <c r="A128" s="16">
        <f t="shared" ca="1" si="3"/>
        <v>-161</v>
      </c>
      <c r="B128" s="71" t="b">
        <v>0</v>
      </c>
      <c r="C128" s="21" t="s">
        <v>48</v>
      </c>
      <c r="D128" s="40">
        <v>34.9</v>
      </c>
      <c r="E128" s="26">
        <v>46008</v>
      </c>
      <c r="F128" s="33" t="s">
        <v>29</v>
      </c>
      <c r="G128" s="28" t="s">
        <v>273</v>
      </c>
      <c r="H128" s="29">
        <v>46112</v>
      </c>
      <c r="I128" s="21" t="s">
        <v>821</v>
      </c>
      <c r="J128" s="21" t="s">
        <v>278</v>
      </c>
      <c r="K128" s="23">
        <f t="shared" si="2"/>
        <v>46477</v>
      </c>
      <c r="L128" s="21" t="s">
        <v>349</v>
      </c>
      <c r="M128" s="32"/>
      <c r="N128" s="42" t="s">
        <v>350</v>
      </c>
      <c r="O128" s="16"/>
      <c r="P128" s="19"/>
      <c r="Q128" s="24"/>
    </row>
    <row r="129" spans="1:17" ht="18.75" customHeight="1" x14ac:dyDescent="0.25">
      <c r="A129" s="16">
        <f t="shared" ca="1" si="3"/>
        <v>-164</v>
      </c>
      <c r="B129" s="71" t="b">
        <v>0</v>
      </c>
      <c r="C129" s="21" t="s">
        <v>200</v>
      </c>
      <c r="D129" s="58"/>
      <c r="E129" s="16"/>
      <c r="F129" s="21" t="s">
        <v>61</v>
      </c>
      <c r="G129" s="21" t="s">
        <v>269</v>
      </c>
      <c r="H129" s="22">
        <v>46115</v>
      </c>
      <c r="I129" s="21" t="s">
        <v>828</v>
      </c>
      <c r="J129" s="21" t="s">
        <v>278</v>
      </c>
      <c r="K129" s="23">
        <f t="shared" si="2"/>
        <v>46480</v>
      </c>
      <c r="L129" s="21" t="s">
        <v>566</v>
      </c>
      <c r="M129" s="30">
        <v>9687985331</v>
      </c>
      <c r="N129" s="19" t="s">
        <v>567</v>
      </c>
      <c r="O129" s="16"/>
      <c r="P129" s="19"/>
      <c r="Q129" s="24"/>
    </row>
    <row r="130" spans="1:17" ht="18.75" customHeight="1" x14ac:dyDescent="0.25">
      <c r="A130" s="16">
        <f t="shared" ca="1" si="3"/>
        <v>-164</v>
      </c>
      <c r="B130" s="71" t="b">
        <v>0</v>
      </c>
      <c r="C130" s="21" t="s">
        <v>201</v>
      </c>
      <c r="D130" s="59">
        <v>38.36</v>
      </c>
      <c r="E130" s="26">
        <v>44511</v>
      </c>
      <c r="F130" s="27" t="s">
        <v>15</v>
      </c>
      <c r="G130" s="27" t="s">
        <v>296</v>
      </c>
      <c r="H130" s="29">
        <v>46115</v>
      </c>
      <c r="I130" s="21" t="s">
        <v>828</v>
      </c>
      <c r="J130" s="21" t="s">
        <v>278</v>
      </c>
      <c r="K130" s="23">
        <f t="shared" ref="K130:K193" si="4">EDATE(H130,12)</f>
        <v>46480</v>
      </c>
      <c r="L130" s="21" t="s">
        <v>284</v>
      </c>
      <c r="M130" s="30" t="s">
        <v>285</v>
      </c>
      <c r="N130" s="19" t="s">
        <v>568</v>
      </c>
      <c r="O130" s="16"/>
      <c r="P130" s="19"/>
      <c r="Q130" s="24"/>
    </row>
    <row r="131" spans="1:17" ht="18.75" customHeight="1" x14ac:dyDescent="0.25">
      <c r="A131" s="16">
        <f t="shared" ca="1" si="3"/>
        <v>-164</v>
      </c>
      <c r="B131" s="71" t="b">
        <v>0</v>
      </c>
      <c r="C131" s="21" t="s">
        <v>202</v>
      </c>
      <c r="D131" s="59">
        <v>60</v>
      </c>
      <c r="E131" s="26">
        <v>45280</v>
      </c>
      <c r="F131" s="27" t="s">
        <v>15</v>
      </c>
      <c r="G131" s="27" t="s">
        <v>296</v>
      </c>
      <c r="H131" s="29">
        <v>46115</v>
      </c>
      <c r="I131" s="21" t="s">
        <v>823</v>
      </c>
      <c r="J131" s="21"/>
      <c r="K131" s="23">
        <f t="shared" si="4"/>
        <v>46480</v>
      </c>
      <c r="L131" s="21" t="s">
        <v>332</v>
      </c>
      <c r="M131" s="30">
        <v>9652828883</v>
      </c>
      <c r="N131" s="19" t="s">
        <v>569</v>
      </c>
      <c r="O131" s="16"/>
      <c r="P131" s="19"/>
      <c r="Q131" s="24"/>
    </row>
    <row r="132" spans="1:17" ht="18.75" customHeight="1" x14ac:dyDescent="0.25">
      <c r="A132" s="16">
        <f t="shared" ca="1" si="3"/>
        <v>-164</v>
      </c>
      <c r="B132" s="71" t="b">
        <v>0</v>
      </c>
      <c r="C132" s="21" t="s">
        <v>203</v>
      </c>
      <c r="D132" s="59">
        <v>6.33</v>
      </c>
      <c r="E132" s="26">
        <v>44511</v>
      </c>
      <c r="F132" s="27" t="s">
        <v>15</v>
      </c>
      <c r="G132" s="27" t="s">
        <v>296</v>
      </c>
      <c r="H132" s="29">
        <v>46115</v>
      </c>
      <c r="I132" s="21" t="s">
        <v>827</v>
      </c>
      <c r="J132" s="21"/>
      <c r="K132" s="23">
        <f t="shared" si="4"/>
        <v>46480</v>
      </c>
      <c r="L132" s="21" t="s">
        <v>284</v>
      </c>
      <c r="M132" s="30" t="s">
        <v>285</v>
      </c>
      <c r="N132" s="19" t="s">
        <v>568</v>
      </c>
      <c r="O132" s="16"/>
      <c r="P132" s="19"/>
      <c r="Q132" s="24"/>
    </row>
    <row r="133" spans="1:17" ht="18.75" customHeight="1" x14ac:dyDescent="0.25">
      <c r="A133" s="16">
        <f t="shared" ca="1" si="3"/>
        <v>-164</v>
      </c>
      <c r="B133" s="71" t="b">
        <v>0</v>
      </c>
      <c r="C133" s="21" t="s">
        <v>204</v>
      </c>
      <c r="D133" s="59">
        <v>31</v>
      </c>
      <c r="E133" s="26">
        <v>45293</v>
      </c>
      <c r="F133" s="27" t="s">
        <v>15</v>
      </c>
      <c r="G133" s="27" t="s">
        <v>296</v>
      </c>
      <c r="H133" s="29">
        <v>46115</v>
      </c>
      <c r="I133" s="21" t="s">
        <v>827</v>
      </c>
      <c r="J133" s="21" t="s">
        <v>278</v>
      </c>
      <c r="K133" s="23">
        <f t="shared" si="4"/>
        <v>46480</v>
      </c>
      <c r="L133" s="21" t="s">
        <v>327</v>
      </c>
      <c r="M133" s="30">
        <v>9750946966</v>
      </c>
      <c r="N133" s="19" t="s">
        <v>570</v>
      </c>
      <c r="O133" s="16"/>
      <c r="P133" s="19"/>
      <c r="Q133" s="24"/>
    </row>
    <row r="134" spans="1:17" ht="18.75" customHeight="1" x14ac:dyDescent="0.25">
      <c r="A134" s="16">
        <f t="shared" ref="A134:A197" ca="1" si="5">IF(OR(I134="Withdrawn",R134="Transfer"),"",($A$1-H134)-365)</f>
        <v>-164</v>
      </c>
      <c r="B134" s="71" t="b">
        <v>0</v>
      </c>
      <c r="C134" s="21" t="s">
        <v>205</v>
      </c>
      <c r="D134" s="59">
        <v>15.54</v>
      </c>
      <c r="E134" s="26">
        <v>44511</v>
      </c>
      <c r="F134" s="27" t="s">
        <v>15</v>
      </c>
      <c r="G134" s="27" t="s">
        <v>296</v>
      </c>
      <c r="H134" s="29">
        <v>46115</v>
      </c>
      <c r="I134" s="21" t="s">
        <v>828</v>
      </c>
      <c r="J134" s="21" t="s">
        <v>278</v>
      </c>
      <c r="K134" s="23">
        <f t="shared" si="4"/>
        <v>46480</v>
      </c>
      <c r="L134" s="21" t="s">
        <v>284</v>
      </c>
      <c r="M134" s="30" t="s">
        <v>285</v>
      </c>
      <c r="N134" s="19" t="s">
        <v>568</v>
      </c>
      <c r="O134" s="16"/>
      <c r="P134" s="19"/>
      <c r="Q134" s="24"/>
    </row>
    <row r="135" spans="1:17" ht="18.75" customHeight="1" x14ac:dyDescent="0.25">
      <c r="A135" s="16">
        <f t="shared" ca="1" si="5"/>
        <v>-164</v>
      </c>
      <c r="B135" s="71" t="b">
        <v>0</v>
      </c>
      <c r="C135" s="21" t="s">
        <v>206</v>
      </c>
      <c r="D135" s="59">
        <v>10.07</v>
      </c>
      <c r="E135" s="26">
        <v>44511</v>
      </c>
      <c r="F135" s="27" t="s">
        <v>15</v>
      </c>
      <c r="G135" s="27" t="s">
        <v>296</v>
      </c>
      <c r="H135" s="29">
        <v>46115</v>
      </c>
      <c r="I135" s="21" t="s">
        <v>827</v>
      </c>
      <c r="J135" s="21" t="s">
        <v>278</v>
      </c>
      <c r="K135" s="23">
        <f t="shared" si="4"/>
        <v>46480</v>
      </c>
      <c r="L135" s="21" t="s">
        <v>284</v>
      </c>
      <c r="M135" s="30" t="s">
        <v>285</v>
      </c>
      <c r="N135" s="19" t="s">
        <v>568</v>
      </c>
      <c r="O135" s="16"/>
      <c r="P135" s="19"/>
      <c r="Q135" s="24"/>
    </row>
    <row r="136" spans="1:17" ht="18.75" customHeight="1" x14ac:dyDescent="0.25">
      <c r="A136" s="16">
        <f t="shared" ca="1" si="5"/>
        <v>-169</v>
      </c>
      <c r="B136" s="71" t="b">
        <v>0</v>
      </c>
      <c r="C136" s="21" t="s">
        <v>207</v>
      </c>
      <c r="D136" s="58">
        <v>68</v>
      </c>
      <c r="E136" s="26">
        <v>46572</v>
      </c>
      <c r="F136" s="21" t="s">
        <v>41</v>
      </c>
      <c r="G136" s="28" t="s">
        <v>273</v>
      </c>
      <c r="H136" s="29">
        <v>46120</v>
      </c>
      <c r="I136" s="21" t="s">
        <v>820</v>
      </c>
      <c r="J136" s="21" t="s">
        <v>272</v>
      </c>
      <c r="K136" s="23">
        <f t="shared" si="4"/>
        <v>46485</v>
      </c>
      <c r="L136" s="21" t="s">
        <v>571</v>
      </c>
      <c r="M136" s="30">
        <v>9854218962</v>
      </c>
      <c r="N136" s="19" t="s">
        <v>572</v>
      </c>
      <c r="O136" s="16"/>
      <c r="P136" s="19"/>
      <c r="Q136" s="24"/>
    </row>
    <row r="137" spans="1:17" ht="18.75" customHeight="1" x14ac:dyDescent="0.25">
      <c r="A137" s="16">
        <f t="shared" ca="1" si="5"/>
        <v>-171</v>
      </c>
      <c r="B137" s="71" t="b">
        <v>0</v>
      </c>
      <c r="C137" s="21" t="s">
        <v>208</v>
      </c>
      <c r="D137" s="59">
        <v>13.15</v>
      </c>
      <c r="E137" s="26" t="s">
        <v>573</v>
      </c>
      <c r="F137" s="27" t="s">
        <v>23</v>
      </c>
      <c r="G137" s="28" t="s">
        <v>273</v>
      </c>
      <c r="H137" s="22">
        <v>46122</v>
      </c>
      <c r="I137" s="21" t="s">
        <v>827</v>
      </c>
      <c r="J137" s="21"/>
      <c r="K137" s="23">
        <f t="shared" si="4"/>
        <v>46487</v>
      </c>
      <c r="L137" s="21"/>
      <c r="M137" s="30"/>
      <c r="N137" s="34" t="s">
        <v>574</v>
      </c>
      <c r="O137" s="16"/>
      <c r="P137" s="19"/>
      <c r="Q137" s="24"/>
    </row>
    <row r="138" spans="1:17" ht="18.75" customHeight="1" x14ac:dyDescent="0.25">
      <c r="A138" s="16">
        <f t="shared" ca="1" si="5"/>
        <v>-171</v>
      </c>
      <c r="B138" s="71" t="b">
        <v>0</v>
      </c>
      <c r="C138" s="21" t="s">
        <v>209</v>
      </c>
      <c r="D138" s="59">
        <v>100</v>
      </c>
      <c r="E138" s="26" t="s">
        <v>575</v>
      </c>
      <c r="F138" s="27" t="s">
        <v>23</v>
      </c>
      <c r="G138" s="28" t="s">
        <v>273</v>
      </c>
      <c r="H138" s="22">
        <v>46122</v>
      </c>
      <c r="I138" s="21" t="s">
        <v>828</v>
      </c>
      <c r="J138" s="21"/>
      <c r="K138" s="23">
        <f t="shared" si="4"/>
        <v>46487</v>
      </c>
      <c r="L138" s="21"/>
      <c r="M138" s="30">
        <v>8867328484</v>
      </c>
      <c r="N138" s="31" t="s">
        <v>576</v>
      </c>
      <c r="O138" s="16"/>
      <c r="P138" s="19"/>
      <c r="Q138" s="24"/>
    </row>
    <row r="139" spans="1:17" ht="18.75" customHeight="1" x14ac:dyDescent="0.25">
      <c r="A139" s="16">
        <f t="shared" ca="1" si="5"/>
        <v>-175</v>
      </c>
      <c r="B139" s="71" t="b">
        <v>0</v>
      </c>
      <c r="C139" s="21" t="s">
        <v>210</v>
      </c>
      <c r="D139" s="58"/>
      <c r="E139" s="16"/>
      <c r="F139" s="21" t="s">
        <v>20</v>
      </c>
      <c r="G139" s="21" t="s">
        <v>294</v>
      </c>
      <c r="H139" s="29">
        <v>46126</v>
      </c>
      <c r="I139" s="21" t="s">
        <v>820</v>
      </c>
      <c r="J139" s="21"/>
      <c r="K139" s="23">
        <f t="shared" si="4"/>
        <v>46491</v>
      </c>
      <c r="L139" s="21"/>
      <c r="M139" s="30"/>
      <c r="N139" s="19" t="s">
        <v>577</v>
      </c>
      <c r="O139" s="16"/>
      <c r="P139" s="19"/>
      <c r="Q139" s="24"/>
    </row>
    <row r="140" spans="1:17" ht="18.75" customHeight="1" x14ac:dyDescent="0.25">
      <c r="A140" s="16">
        <f t="shared" ca="1" si="5"/>
        <v>-175</v>
      </c>
      <c r="B140" s="71" t="b">
        <v>0</v>
      </c>
      <c r="C140" s="49" t="s">
        <v>211</v>
      </c>
      <c r="D140" s="58"/>
      <c r="E140" s="16"/>
      <c r="F140" s="21" t="s">
        <v>51</v>
      </c>
      <c r="G140" s="21" t="s">
        <v>269</v>
      </c>
      <c r="H140" s="22">
        <v>46126</v>
      </c>
      <c r="I140" s="21" t="s">
        <v>827</v>
      </c>
      <c r="J140" s="21"/>
      <c r="K140" s="23">
        <f t="shared" si="4"/>
        <v>46491</v>
      </c>
      <c r="L140" s="21" t="s">
        <v>562</v>
      </c>
      <c r="M140" s="30">
        <v>9663692990</v>
      </c>
      <c r="N140" s="19" t="s">
        <v>563</v>
      </c>
      <c r="O140" s="16"/>
      <c r="P140" s="19"/>
      <c r="Q140" s="24"/>
    </row>
    <row r="141" spans="1:17" ht="18.75" customHeight="1" x14ac:dyDescent="0.25">
      <c r="A141" s="16">
        <f t="shared" ca="1" si="5"/>
        <v>-177</v>
      </c>
      <c r="B141" s="71" t="b">
        <v>0</v>
      </c>
      <c r="C141" s="21" t="s">
        <v>212</v>
      </c>
      <c r="D141" s="58"/>
      <c r="E141" s="16"/>
      <c r="F141" s="21" t="s">
        <v>70</v>
      </c>
      <c r="G141" s="21" t="s">
        <v>294</v>
      </c>
      <c r="H141" s="29">
        <v>46128</v>
      </c>
      <c r="I141" s="21" t="s">
        <v>825</v>
      </c>
      <c r="J141" s="21" t="s">
        <v>278</v>
      </c>
      <c r="K141" s="23">
        <f t="shared" si="4"/>
        <v>46493</v>
      </c>
      <c r="L141" s="21" t="s">
        <v>578</v>
      </c>
      <c r="M141" s="30"/>
      <c r="N141" s="19" t="s">
        <v>579</v>
      </c>
      <c r="O141" s="16"/>
      <c r="P141" s="19"/>
      <c r="Q141" s="24"/>
    </row>
    <row r="142" spans="1:17" ht="18.75" customHeight="1" x14ac:dyDescent="0.25">
      <c r="A142" s="16">
        <f t="shared" ca="1" si="5"/>
        <v>-178</v>
      </c>
      <c r="B142" s="71" t="b">
        <v>0</v>
      </c>
      <c r="C142" s="21" t="s">
        <v>213</v>
      </c>
      <c r="D142" s="58"/>
      <c r="E142" s="16"/>
      <c r="F142" s="21" t="s">
        <v>70</v>
      </c>
      <c r="G142" s="21" t="s">
        <v>294</v>
      </c>
      <c r="H142" s="29">
        <v>46129</v>
      </c>
      <c r="I142" s="21" t="s">
        <v>826</v>
      </c>
      <c r="J142" s="21" t="s">
        <v>278</v>
      </c>
      <c r="K142" s="23">
        <f t="shared" si="4"/>
        <v>46494</v>
      </c>
      <c r="L142" s="21" t="s">
        <v>580</v>
      </c>
      <c r="M142" s="30"/>
      <c r="N142" s="19" t="s">
        <v>581</v>
      </c>
      <c r="O142" s="16"/>
      <c r="P142" s="19"/>
      <c r="Q142" s="24"/>
    </row>
    <row r="143" spans="1:17" ht="18.75" customHeight="1" x14ac:dyDescent="0.25">
      <c r="A143" s="16">
        <f t="shared" ca="1" si="5"/>
        <v>-182</v>
      </c>
      <c r="B143" s="71" t="b">
        <v>0</v>
      </c>
      <c r="C143" s="21" t="s">
        <v>214</v>
      </c>
      <c r="D143" s="40">
        <v>55.26</v>
      </c>
      <c r="E143" s="50">
        <v>45295</v>
      </c>
      <c r="F143" s="51" t="s">
        <v>86</v>
      </c>
      <c r="G143" s="21" t="s">
        <v>273</v>
      </c>
      <c r="H143" s="29">
        <v>46133</v>
      </c>
      <c r="I143" s="21" t="s">
        <v>826</v>
      </c>
      <c r="J143" s="21"/>
      <c r="K143" s="23">
        <f t="shared" si="4"/>
        <v>46498</v>
      </c>
      <c r="L143" s="21"/>
      <c r="M143" s="30"/>
      <c r="N143" s="31" t="s">
        <v>582</v>
      </c>
      <c r="O143" s="16"/>
      <c r="P143" s="19"/>
      <c r="Q143" s="24"/>
    </row>
    <row r="144" spans="1:17" ht="18.75" customHeight="1" x14ac:dyDescent="0.25">
      <c r="A144" s="16">
        <f t="shared" ca="1" si="5"/>
        <v>-184</v>
      </c>
      <c r="B144" s="71" t="b">
        <v>0</v>
      </c>
      <c r="C144" s="21" t="s">
        <v>215</v>
      </c>
      <c r="D144" s="58"/>
      <c r="E144" s="16"/>
      <c r="F144" s="21" t="s">
        <v>13</v>
      </c>
      <c r="G144" s="21" t="s">
        <v>294</v>
      </c>
      <c r="H144" s="29">
        <v>46135</v>
      </c>
      <c r="I144" s="21" t="s">
        <v>826</v>
      </c>
      <c r="J144" s="21"/>
      <c r="K144" s="23">
        <f t="shared" si="4"/>
        <v>46500</v>
      </c>
      <c r="L144" s="21"/>
      <c r="M144" s="30"/>
      <c r="N144" s="19" t="s">
        <v>583</v>
      </c>
      <c r="O144" s="16"/>
      <c r="P144" s="19"/>
      <c r="Q144" s="24"/>
    </row>
    <row r="145" spans="1:17" ht="18.75" customHeight="1" x14ac:dyDescent="0.25">
      <c r="A145" s="16">
        <f t="shared" ca="1" si="5"/>
        <v>-195</v>
      </c>
      <c r="B145" s="71" t="b">
        <v>0</v>
      </c>
      <c r="C145" s="21" t="s">
        <v>218</v>
      </c>
      <c r="D145" s="61">
        <v>250</v>
      </c>
      <c r="E145" s="54">
        <v>46146</v>
      </c>
      <c r="F145" s="33" t="s">
        <v>217</v>
      </c>
      <c r="G145" s="33" t="s">
        <v>273</v>
      </c>
      <c r="H145" s="29">
        <v>46146</v>
      </c>
      <c r="I145" s="21" t="s">
        <v>821</v>
      </c>
      <c r="J145" s="21"/>
      <c r="K145" s="23">
        <f t="shared" si="4"/>
        <v>46511</v>
      </c>
      <c r="L145" s="21"/>
      <c r="M145" s="30"/>
      <c r="N145" s="19" t="s">
        <v>350</v>
      </c>
      <c r="O145" s="16"/>
      <c r="P145" s="19"/>
      <c r="Q145" s="24"/>
    </row>
    <row r="146" spans="1:17" ht="18.75" customHeight="1" x14ac:dyDescent="0.25">
      <c r="A146" s="16">
        <f t="shared" ca="1" si="5"/>
        <v>-197</v>
      </c>
      <c r="B146" s="71" t="b">
        <v>0</v>
      </c>
      <c r="C146" s="21" t="s">
        <v>219</v>
      </c>
      <c r="D146" s="56">
        <v>12.24</v>
      </c>
      <c r="E146" s="26">
        <v>44513</v>
      </c>
      <c r="F146" s="28" t="s">
        <v>36</v>
      </c>
      <c r="G146" s="28" t="s">
        <v>273</v>
      </c>
      <c r="H146" s="29">
        <v>46148</v>
      </c>
      <c r="I146" s="21" t="s">
        <v>829</v>
      </c>
      <c r="J146" s="21"/>
      <c r="K146" s="23">
        <f t="shared" si="4"/>
        <v>46513</v>
      </c>
      <c r="L146" s="21"/>
      <c r="M146" s="30"/>
      <c r="N146" s="19" t="s">
        <v>590</v>
      </c>
      <c r="O146" s="16"/>
      <c r="P146" s="19"/>
      <c r="Q146" s="24"/>
    </row>
    <row r="147" spans="1:17" ht="18.75" customHeight="1" x14ac:dyDescent="0.25">
      <c r="A147" s="16">
        <f t="shared" ca="1" si="5"/>
        <v>-197</v>
      </c>
      <c r="B147" s="71" t="b">
        <v>0</v>
      </c>
      <c r="C147" s="21" t="s">
        <v>220</v>
      </c>
      <c r="D147" s="56">
        <v>6</v>
      </c>
      <c r="E147" s="26">
        <v>44002</v>
      </c>
      <c r="F147" s="28" t="s">
        <v>36</v>
      </c>
      <c r="G147" s="28" t="s">
        <v>273</v>
      </c>
      <c r="H147" s="29">
        <v>46148</v>
      </c>
      <c r="I147" s="21" t="s">
        <v>829</v>
      </c>
      <c r="J147" s="21"/>
      <c r="K147" s="23">
        <f t="shared" si="4"/>
        <v>46513</v>
      </c>
      <c r="L147" s="21"/>
      <c r="M147" s="30"/>
      <c r="N147" s="19" t="s">
        <v>591</v>
      </c>
      <c r="O147" s="16"/>
      <c r="P147" s="19"/>
      <c r="Q147" s="24"/>
    </row>
    <row r="148" spans="1:17" ht="18.75" customHeight="1" x14ac:dyDescent="0.25">
      <c r="A148" s="16">
        <f t="shared" ca="1" si="5"/>
        <v>-197</v>
      </c>
      <c r="B148" s="71" t="b">
        <v>0</v>
      </c>
      <c r="C148" s="21" t="s">
        <v>221</v>
      </c>
      <c r="D148" s="59">
        <v>50.05</v>
      </c>
      <c r="E148" s="26" t="s">
        <v>592</v>
      </c>
      <c r="F148" s="27" t="s">
        <v>6</v>
      </c>
      <c r="G148" s="28" t="s">
        <v>273</v>
      </c>
      <c r="H148" s="29">
        <v>46148</v>
      </c>
      <c r="I148" s="21" t="s">
        <v>274</v>
      </c>
      <c r="J148" s="21" t="s">
        <v>274</v>
      </c>
      <c r="K148" s="23">
        <f t="shared" si="4"/>
        <v>46513</v>
      </c>
      <c r="L148" s="21"/>
      <c r="M148" s="30"/>
      <c r="N148" s="19" t="s">
        <v>593</v>
      </c>
      <c r="O148" s="16"/>
      <c r="P148" s="19"/>
      <c r="Q148" s="24"/>
    </row>
    <row r="149" spans="1:17" ht="18.75" customHeight="1" x14ac:dyDescent="0.25">
      <c r="A149" s="16">
        <f t="shared" ca="1" si="5"/>
        <v>-197</v>
      </c>
      <c r="B149" s="71" t="b">
        <v>0</v>
      </c>
      <c r="C149" s="21" t="s">
        <v>222</v>
      </c>
      <c r="D149" s="58"/>
      <c r="E149" s="16"/>
      <c r="F149" s="21" t="s">
        <v>61</v>
      </c>
      <c r="G149" s="21" t="s">
        <v>269</v>
      </c>
      <c r="H149" s="22">
        <v>46148</v>
      </c>
      <c r="I149" s="21" t="s">
        <v>826</v>
      </c>
      <c r="J149" s="21" t="s">
        <v>278</v>
      </c>
      <c r="K149" s="23">
        <f t="shared" si="4"/>
        <v>46513</v>
      </c>
      <c r="L149" s="21" t="s">
        <v>586</v>
      </c>
      <c r="M149" s="30">
        <v>7940042426</v>
      </c>
      <c r="N149" s="19" t="s">
        <v>587</v>
      </c>
      <c r="O149" s="16"/>
      <c r="P149" s="19"/>
      <c r="Q149" s="24"/>
    </row>
    <row r="150" spans="1:17" ht="18.75" customHeight="1" x14ac:dyDescent="0.25">
      <c r="A150" s="16">
        <f t="shared" ca="1" si="5"/>
        <v>-197</v>
      </c>
      <c r="B150" s="71" t="b">
        <v>0</v>
      </c>
      <c r="C150" s="21" t="s">
        <v>223</v>
      </c>
      <c r="D150" s="58"/>
      <c r="E150" s="16"/>
      <c r="F150" s="21" t="s">
        <v>61</v>
      </c>
      <c r="G150" s="21" t="s">
        <v>269</v>
      </c>
      <c r="H150" s="22">
        <v>46148</v>
      </c>
      <c r="I150" s="21" t="s">
        <v>829</v>
      </c>
      <c r="J150" s="21"/>
      <c r="K150" s="23">
        <f t="shared" si="4"/>
        <v>46513</v>
      </c>
      <c r="L150" s="21" t="s">
        <v>588</v>
      </c>
      <c r="M150" s="30">
        <v>9452278099</v>
      </c>
      <c r="N150" s="19" t="s">
        <v>589</v>
      </c>
      <c r="O150" s="16"/>
      <c r="P150" s="19"/>
      <c r="Q150" s="24"/>
    </row>
    <row r="151" spans="1:17" ht="18.75" customHeight="1" x14ac:dyDescent="0.25">
      <c r="A151" s="16">
        <f t="shared" ca="1" si="5"/>
        <v>-197</v>
      </c>
      <c r="B151" s="71" t="b">
        <v>0</v>
      </c>
      <c r="C151" s="21" t="s">
        <v>224</v>
      </c>
      <c r="D151" s="58"/>
      <c r="E151" s="16"/>
      <c r="F151" s="21" t="s">
        <v>51</v>
      </c>
      <c r="G151" s="21" t="s">
        <v>269</v>
      </c>
      <c r="H151" s="22">
        <v>46148</v>
      </c>
      <c r="I151" s="21" t="s">
        <v>820</v>
      </c>
      <c r="J151" s="21"/>
      <c r="K151" s="23">
        <f t="shared" si="4"/>
        <v>46513</v>
      </c>
      <c r="L151" s="21" t="s">
        <v>584</v>
      </c>
      <c r="M151" s="30">
        <v>9970055053</v>
      </c>
      <c r="N151" s="19" t="s">
        <v>585</v>
      </c>
      <c r="O151" s="16"/>
      <c r="P151" s="19"/>
      <c r="Q151" s="24"/>
    </row>
    <row r="152" spans="1:17" ht="18.75" customHeight="1" x14ac:dyDescent="0.25">
      <c r="A152" s="16">
        <f t="shared" ca="1" si="5"/>
        <v>-198</v>
      </c>
      <c r="B152" s="71" t="b">
        <v>0</v>
      </c>
      <c r="C152" s="21" t="s">
        <v>225</v>
      </c>
      <c r="D152" s="59">
        <v>150</v>
      </c>
      <c r="E152" s="26">
        <v>43552</v>
      </c>
      <c r="F152" s="27" t="s">
        <v>15</v>
      </c>
      <c r="G152" s="27" t="s">
        <v>296</v>
      </c>
      <c r="H152" s="29">
        <v>46149</v>
      </c>
      <c r="I152" s="21" t="s">
        <v>274</v>
      </c>
      <c r="J152" s="21"/>
      <c r="K152" s="23">
        <f t="shared" si="4"/>
        <v>46514</v>
      </c>
      <c r="L152" s="21" t="s">
        <v>375</v>
      </c>
      <c r="M152" s="30">
        <v>8800203338</v>
      </c>
      <c r="N152" s="19" t="s">
        <v>594</v>
      </c>
      <c r="O152" s="16"/>
      <c r="P152" s="19"/>
      <c r="Q152" s="24"/>
    </row>
    <row r="153" spans="1:17" ht="18.75" customHeight="1" x14ac:dyDescent="0.25">
      <c r="A153" s="16">
        <f t="shared" ca="1" si="5"/>
        <v>-202</v>
      </c>
      <c r="B153" s="71" t="b">
        <v>0</v>
      </c>
      <c r="C153" s="21" t="s">
        <v>226</v>
      </c>
      <c r="D153" s="56">
        <v>143</v>
      </c>
      <c r="E153" s="26">
        <v>46153</v>
      </c>
      <c r="F153" s="28" t="s">
        <v>36</v>
      </c>
      <c r="G153" s="28" t="s">
        <v>273</v>
      </c>
      <c r="H153" s="29">
        <v>46153</v>
      </c>
      <c r="I153" s="21" t="s">
        <v>820</v>
      </c>
      <c r="J153" s="21" t="s">
        <v>272</v>
      </c>
      <c r="K153" s="23">
        <f t="shared" si="4"/>
        <v>46518</v>
      </c>
      <c r="L153" s="21"/>
      <c r="M153" s="30"/>
      <c r="N153" s="19" t="s">
        <v>595</v>
      </c>
      <c r="O153" s="16"/>
      <c r="P153" s="19"/>
      <c r="Q153" s="24"/>
    </row>
    <row r="154" spans="1:17" ht="18.75" customHeight="1" x14ac:dyDescent="0.25">
      <c r="A154" s="16">
        <f t="shared" ca="1" si="5"/>
        <v>-202</v>
      </c>
      <c r="B154" s="71" t="b">
        <v>0</v>
      </c>
      <c r="C154" s="21" t="s">
        <v>227</v>
      </c>
      <c r="D154" s="58"/>
      <c r="E154" s="16"/>
      <c r="F154" s="21" t="s">
        <v>141</v>
      </c>
      <c r="G154" s="21" t="s">
        <v>269</v>
      </c>
      <c r="H154" s="22">
        <v>46153</v>
      </c>
      <c r="I154" s="21" t="s">
        <v>823</v>
      </c>
      <c r="J154" s="21" t="s">
        <v>278</v>
      </c>
      <c r="K154" s="23">
        <f t="shared" si="4"/>
        <v>46518</v>
      </c>
      <c r="L154" s="21" t="s">
        <v>596</v>
      </c>
      <c r="M154" s="30">
        <v>9821419318</v>
      </c>
      <c r="N154" s="31" t="s">
        <v>597</v>
      </c>
      <c r="O154" s="16"/>
      <c r="P154" s="19"/>
      <c r="Q154" s="24"/>
    </row>
    <row r="155" spans="1:17" ht="18.75" customHeight="1" x14ac:dyDescent="0.25">
      <c r="A155" s="16">
        <f t="shared" ca="1" si="5"/>
        <v>-205</v>
      </c>
      <c r="B155" s="71" t="b">
        <v>0</v>
      </c>
      <c r="C155" s="21" t="s">
        <v>228</v>
      </c>
      <c r="D155" s="58"/>
      <c r="E155" s="16"/>
      <c r="F155" s="21" t="s">
        <v>153</v>
      </c>
      <c r="G155" s="21" t="s">
        <v>269</v>
      </c>
      <c r="H155" s="22">
        <v>46156</v>
      </c>
      <c r="I155" s="21" t="s">
        <v>823</v>
      </c>
      <c r="J155" s="21"/>
      <c r="K155" s="23">
        <f t="shared" si="4"/>
        <v>46521</v>
      </c>
      <c r="L155" s="21" t="s">
        <v>598</v>
      </c>
      <c r="M155" s="30">
        <v>9326622533</v>
      </c>
      <c r="N155" s="19" t="s">
        <v>599</v>
      </c>
      <c r="O155" s="16"/>
      <c r="P155" s="19"/>
      <c r="Q155" s="24"/>
    </row>
    <row r="156" spans="1:17" ht="18.75" customHeight="1" x14ac:dyDescent="0.25">
      <c r="A156" s="16">
        <f t="shared" ca="1" si="5"/>
        <v>-205</v>
      </c>
      <c r="B156" s="71" t="b">
        <v>0</v>
      </c>
      <c r="C156" s="21" t="s">
        <v>229</v>
      </c>
      <c r="D156" s="58"/>
      <c r="E156" s="16"/>
      <c r="F156" s="21" t="s">
        <v>153</v>
      </c>
      <c r="G156" s="21" t="s">
        <v>269</v>
      </c>
      <c r="H156" s="22">
        <v>46156</v>
      </c>
      <c r="I156" s="21" t="s">
        <v>825</v>
      </c>
      <c r="J156" s="21" t="s">
        <v>278</v>
      </c>
      <c r="K156" s="23">
        <f t="shared" si="4"/>
        <v>46521</v>
      </c>
      <c r="L156" s="21" t="s">
        <v>600</v>
      </c>
      <c r="M156" s="30">
        <v>9833585812</v>
      </c>
      <c r="N156" s="19" t="s">
        <v>601</v>
      </c>
      <c r="O156" s="16"/>
      <c r="P156" s="19"/>
      <c r="Q156" s="24"/>
    </row>
    <row r="157" spans="1:17" ht="18.75" customHeight="1" x14ac:dyDescent="0.25">
      <c r="A157" s="16">
        <f t="shared" ca="1" si="5"/>
        <v>-209</v>
      </c>
      <c r="B157" s="71" t="b">
        <v>0</v>
      </c>
      <c r="C157" s="21" t="s">
        <v>230</v>
      </c>
      <c r="D157" s="58"/>
      <c r="E157" s="16"/>
      <c r="F157" s="21" t="s">
        <v>70</v>
      </c>
      <c r="G157" s="21" t="s">
        <v>294</v>
      </c>
      <c r="H157" s="29">
        <v>46160</v>
      </c>
      <c r="I157" s="21" t="s">
        <v>823</v>
      </c>
      <c r="J157" s="21"/>
      <c r="K157" s="23">
        <f t="shared" si="4"/>
        <v>46525</v>
      </c>
      <c r="L157" s="21" t="s">
        <v>610</v>
      </c>
      <c r="M157" s="30"/>
      <c r="N157" s="19" t="s">
        <v>611</v>
      </c>
      <c r="O157" s="16"/>
      <c r="P157" s="19"/>
      <c r="Q157" s="24"/>
    </row>
    <row r="158" spans="1:17" ht="18.75" customHeight="1" x14ac:dyDescent="0.25">
      <c r="A158" s="16">
        <f t="shared" ca="1" si="5"/>
        <v>-209</v>
      </c>
      <c r="B158" s="71" t="b">
        <v>0</v>
      </c>
      <c r="C158" s="21" t="s">
        <v>231</v>
      </c>
      <c r="D158" s="35">
        <v>19.34</v>
      </c>
      <c r="E158" s="36">
        <v>44280</v>
      </c>
      <c r="F158" s="37" t="s">
        <v>19</v>
      </c>
      <c r="G158" s="21" t="s">
        <v>298</v>
      </c>
      <c r="H158" s="29">
        <v>46160</v>
      </c>
      <c r="I158" s="21" t="s">
        <v>829</v>
      </c>
      <c r="J158" s="21" t="s">
        <v>278</v>
      </c>
      <c r="K158" s="23">
        <f t="shared" si="4"/>
        <v>46525</v>
      </c>
      <c r="L158" s="21" t="s">
        <v>602</v>
      </c>
      <c r="M158" s="30">
        <v>9445959394</v>
      </c>
      <c r="N158" s="19" t="s">
        <v>603</v>
      </c>
      <c r="O158" s="16"/>
      <c r="P158" s="19"/>
      <c r="Q158" s="24"/>
    </row>
    <row r="159" spans="1:17" ht="18.75" customHeight="1" x14ac:dyDescent="0.25">
      <c r="A159" s="16">
        <f t="shared" ca="1" si="5"/>
        <v>-209</v>
      </c>
      <c r="B159" s="71" t="b">
        <v>0</v>
      </c>
      <c r="C159" s="21" t="s">
        <v>232</v>
      </c>
      <c r="D159" s="35">
        <v>690</v>
      </c>
      <c r="E159" s="36">
        <v>44551</v>
      </c>
      <c r="F159" s="37" t="s">
        <v>19</v>
      </c>
      <c r="G159" s="21" t="s">
        <v>298</v>
      </c>
      <c r="H159" s="29">
        <v>46160</v>
      </c>
      <c r="I159" s="21" t="s">
        <v>274</v>
      </c>
      <c r="J159" s="21"/>
      <c r="K159" s="23">
        <f t="shared" si="4"/>
        <v>46525</v>
      </c>
      <c r="L159" s="21" t="s">
        <v>604</v>
      </c>
      <c r="M159" s="30">
        <v>9818199978</v>
      </c>
      <c r="N159" s="19" t="s">
        <v>605</v>
      </c>
      <c r="O159" s="16"/>
      <c r="P159" s="19"/>
      <c r="Q159" s="24"/>
    </row>
    <row r="160" spans="1:17" ht="18.75" customHeight="1" x14ac:dyDescent="0.25">
      <c r="A160" s="16">
        <f t="shared" ca="1" si="5"/>
        <v>-209</v>
      </c>
      <c r="B160" s="71" t="b">
        <v>0</v>
      </c>
      <c r="C160" s="21" t="s">
        <v>233</v>
      </c>
      <c r="D160" s="35">
        <v>2</v>
      </c>
      <c r="E160" s="36">
        <v>44253</v>
      </c>
      <c r="F160" s="37" t="s">
        <v>19</v>
      </c>
      <c r="G160" s="21" t="s">
        <v>298</v>
      </c>
      <c r="H160" s="29">
        <v>46160</v>
      </c>
      <c r="I160" s="21" t="s">
        <v>828</v>
      </c>
      <c r="J160" s="21"/>
      <c r="K160" s="23">
        <f t="shared" si="4"/>
        <v>46525</v>
      </c>
      <c r="L160" s="21" t="s">
        <v>606</v>
      </c>
      <c r="M160" s="30">
        <v>8303426580</v>
      </c>
      <c r="N160" s="19" t="s">
        <v>607</v>
      </c>
      <c r="O160" s="16"/>
      <c r="P160" s="19"/>
      <c r="Q160" s="24"/>
    </row>
    <row r="161" spans="1:17" ht="18.75" customHeight="1" x14ac:dyDescent="0.25">
      <c r="A161" s="16">
        <f t="shared" ca="1" si="5"/>
        <v>-209</v>
      </c>
      <c r="B161" s="71" t="b">
        <v>0</v>
      </c>
      <c r="C161" s="21" t="s">
        <v>234</v>
      </c>
      <c r="D161" s="35">
        <v>235</v>
      </c>
      <c r="E161" s="36">
        <v>44224</v>
      </c>
      <c r="F161" s="37" t="s">
        <v>19</v>
      </c>
      <c r="G161" s="21" t="s">
        <v>298</v>
      </c>
      <c r="H161" s="29">
        <v>46160</v>
      </c>
      <c r="I161" s="21" t="s">
        <v>827</v>
      </c>
      <c r="J161" s="21" t="s">
        <v>278</v>
      </c>
      <c r="K161" s="23">
        <f t="shared" si="4"/>
        <v>46525</v>
      </c>
      <c r="L161" s="21" t="s">
        <v>608</v>
      </c>
      <c r="M161" s="30">
        <v>7708008747</v>
      </c>
      <c r="N161" s="19" t="s">
        <v>609</v>
      </c>
      <c r="O161" s="16"/>
      <c r="P161" s="19"/>
      <c r="Q161" s="24"/>
    </row>
    <row r="162" spans="1:17" ht="18.75" customHeight="1" x14ac:dyDescent="0.25">
      <c r="A162" s="16">
        <f t="shared" ca="1" si="5"/>
        <v>-213</v>
      </c>
      <c r="B162" s="71" t="b">
        <v>0</v>
      </c>
      <c r="C162" s="21" t="s">
        <v>235</v>
      </c>
      <c r="D162" s="58"/>
      <c r="E162" s="16"/>
      <c r="F162" s="21" t="s">
        <v>153</v>
      </c>
      <c r="G162" s="21" t="s">
        <v>269</v>
      </c>
      <c r="H162" s="22">
        <v>46164</v>
      </c>
      <c r="I162" s="21" t="s">
        <v>821</v>
      </c>
      <c r="J162" s="21"/>
      <c r="K162" s="23">
        <f t="shared" si="4"/>
        <v>46529</v>
      </c>
      <c r="L162" s="21" t="s">
        <v>612</v>
      </c>
      <c r="M162" s="30">
        <v>9422903704</v>
      </c>
      <c r="N162" s="19" t="s">
        <v>613</v>
      </c>
      <c r="O162" s="16"/>
      <c r="P162" s="19"/>
      <c r="Q162" s="24"/>
    </row>
    <row r="163" spans="1:17" ht="18.75" customHeight="1" x14ac:dyDescent="0.25">
      <c r="A163" s="16">
        <f t="shared" ca="1" si="5"/>
        <v>-217</v>
      </c>
      <c r="B163" s="71" t="b">
        <v>0</v>
      </c>
      <c r="C163" s="21" t="s">
        <v>236</v>
      </c>
      <c r="D163" s="59">
        <v>112.84</v>
      </c>
      <c r="E163" s="26" t="s">
        <v>614</v>
      </c>
      <c r="F163" s="27" t="s">
        <v>6</v>
      </c>
      <c r="G163" s="28" t="s">
        <v>273</v>
      </c>
      <c r="H163" s="29">
        <v>46168</v>
      </c>
      <c r="I163" s="21" t="s">
        <v>825</v>
      </c>
      <c r="J163" s="21" t="s">
        <v>278</v>
      </c>
      <c r="K163" s="23">
        <f t="shared" si="4"/>
        <v>46533</v>
      </c>
      <c r="L163" s="21"/>
      <c r="M163" s="30"/>
      <c r="N163" s="19" t="s">
        <v>615</v>
      </c>
      <c r="O163" s="16"/>
      <c r="P163" s="19"/>
      <c r="Q163" s="24"/>
    </row>
    <row r="164" spans="1:17" ht="18.75" customHeight="1" x14ac:dyDescent="0.25">
      <c r="A164" s="16">
        <f t="shared" ca="1" si="5"/>
        <v>-217</v>
      </c>
      <c r="B164" s="71" t="b">
        <v>0</v>
      </c>
      <c r="C164" s="21" t="s">
        <v>237</v>
      </c>
      <c r="D164" s="59">
        <v>55</v>
      </c>
      <c r="E164" s="26">
        <v>45629</v>
      </c>
      <c r="F164" s="27" t="s">
        <v>6</v>
      </c>
      <c r="G164" s="28" t="s">
        <v>273</v>
      </c>
      <c r="H164" s="29">
        <v>46168</v>
      </c>
      <c r="I164" s="21" t="s">
        <v>274</v>
      </c>
      <c r="J164" s="21" t="s">
        <v>274</v>
      </c>
      <c r="K164" s="23">
        <f t="shared" si="4"/>
        <v>46533</v>
      </c>
      <c r="L164" s="21"/>
      <c r="M164" s="30"/>
      <c r="N164" s="19" t="s">
        <v>616</v>
      </c>
      <c r="O164" s="16"/>
      <c r="P164" s="19"/>
      <c r="Q164" s="24"/>
    </row>
    <row r="165" spans="1:17" ht="18.75" customHeight="1" x14ac:dyDescent="0.25">
      <c r="A165" s="16">
        <f t="shared" ca="1" si="5"/>
        <v>-218</v>
      </c>
      <c r="B165" s="71" t="b">
        <v>0</v>
      </c>
      <c r="C165" s="21" t="s">
        <v>238</v>
      </c>
      <c r="D165" s="40">
        <v>24.5</v>
      </c>
      <c r="E165" s="26">
        <v>45751</v>
      </c>
      <c r="F165" s="33" t="s">
        <v>29</v>
      </c>
      <c r="G165" s="28" t="s">
        <v>273</v>
      </c>
      <c r="H165" s="29">
        <v>46169</v>
      </c>
      <c r="I165" s="21" t="s">
        <v>823</v>
      </c>
      <c r="J165" s="21" t="s">
        <v>278</v>
      </c>
      <c r="K165" s="23">
        <f t="shared" si="4"/>
        <v>46534</v>
      </c>
      <c r="L165" s="21"/>
      <c r="M165" s="30"/>
      <c r="N165" s="19" t="s">
        <v>418</v>
      </c>
      <c r="O165" s="16"/>
      <c r="P165" s="19"/>
      <c r="Q165" s="24"/>
    </row>
    <row r="166" spans="1:17" ht="18.75" customHeight="1" x14ac:dyDescent="0.25">
      <c r="A166" s="16">
        <f t="shared" ca="1" si="5"/>
        <v>-219</v>
      </c>
      <c r="B166" s="71" t="b">
        <v>0</v>
      </c>
      <c r="C166" s="21" t="s">
        <v>239</v>
      </c>
      <c r="D166" s="58">
        <v>572.36</v>
      </c>
      <c r="E166" s="16">
        <v>44928</v>
      </c>
      <c r="F166" s="21" t="s">
        <v>34</v>
      </c>
      <c r="G166" s="21" t="s">
        <v>298</v>
      </c>
      <c r="H166" s="22">
        <v>46170</v>
      </c>
      <c r="I166" s="21" t="s">
        <v>274</v>
      </c>
      <c r="J166" s="21" t="s">
        <v>274</v>
      </c>
      <c r="K166" s="23">
        <f t="shared" si="4"/>
        <v>46535</v>
      </c>
      <c r="L166" s="21" t="s">
        <v>617</v>
      </c>
      <c r="M166" s="30">
        <v>9871890407</v>
      </c>
      <c r="N166" s="19" t="s">
        <v>618</v>
      </c>
      <c r="O166" s="16"/>
      <c r="P166" s="19"/>
      <c r="Q166" s="24"/>
    </row>
    <row r="167" spans="1:17" ht="18.75" customHeight="1" x14ac:dyDescent="0.25">
      <c r="A167" s="16">
        <f t="shared" ca="1" si="5"/>
        <v>-219</v>
      </c>
      <c r="B167" s="71" t="b">
        <v>0</v>
      </c>
      <c r="C167" s="21" t="s">
        <v>240</v>
      </c>
      <c r="D167" s="58"/>
      <c r="E167" s="16"/>
      <c r="F167" s="21" t="s">
        <v>51</v>
      </c>
      <c r="G167" s="21" t="s">
        <v>269</v>
      </c>
      <c r="H167" s="22">
        <v>46170</v>
      </c>
      <c r="I167" s="21" t="s">
        <v>825</v>
      </c>
      <c r="J167" s="21" t="s">
        <v>278</v>
      </c>
      <c r="K167" s="23">
        <f t="shared" si="4"/>
        <v>46535</v>
      </c>
      <c r="L167" s="21" t="s">
        <v>449</v>
      </c>
      <c r="M167" s="30">
        <v>9179018884</v>
      </c>
      <c r="N167" s="19" t="s">
        <v>450</v>
      </c>
      <c r="O167" s="16"/>
      <c r="P167" s="19"/>
      <c r="Q167" s="24"/>
    </row>
    <row r="168" spans="1:17" ht="18.75" customHeight="1" x14ac:dyDescent="0.25">
      <c r="A168" s="16">
        <f t="shared" ca="1" si="5"/>
        <v>-219</v>
      </c>
      <c r="B168" s="71" t="b">
        <v>0</v>
      </c>
      <c r="C168" s="21" t="s">
        <v>241</v>
      </c>
      <c r="D168" s="58">
        <v>9</v>
      </c>
      <c r="E168" s="16">
        <v>45341</v>
      </c>
      <c r="F168" s="21" t="s">
        <v>34</v>
      </c>
      <c r="G168" s="21" t="s">
        <v>298</v>
      </c>
      <c r="H168" s="22">
        <v>46170</v>
      </c>
      <c r="I168" s="21" t="s">
        <v>827</v>
      </c>
      <c r="J168" s="21" t="s">
        <v>278</v>
      </c>
      <c r="K168" s="23">
        <f t="shared" si="4"/>
        <v>46535</v>
      </c>
      <c r="L168" s="21" t="s">
        <v>619</v>
      </c>
      <c r="M168" s="30">
        <v>7999894867</v>
      </c>
      <c r="N168" s="19" t="s">
        <v>620</v>
      </c>
      <c r="O168" s="16"/>
      <c r="P168" s="19"/>
      <c r="Q168" s="24"/>
    </row>
    <row r="169" spans="1:17" ht="18.75" customHeight="1" x14ac:dyDescent="0.25">
      <c r="A169" s="16">
        <f t="shared" ca="1" si="5"/>
        <v>-220</v>
      </c>
      <c r="B169" s="71" t="b">
        <v>0</v>
      </c>
      <c r="C169" s="21" t="s">
        <v>242</v>
      </c>
      <c r="D169" s="58"/>
      <c r="E169" s="16"/>
      <c r="F169" s="21" t="s">
        <v>61</v>
      </c>
      <c r="G169" s="21" t="s">
        <v>269</v>
      </c>
      <c r="H169" s="22">
        <v>46171</v>
      </c>
      <c r="I169" s="21" t="s">
        <v>828</v>
      </c>
      <c r="J169" s="21" t="s">
        <v>278</v>
      </c>
      <c r="K169" s="23">
        <f t="shared" si="4"/>
        <v>46536</v>
      </c>
      <c r="L169" s="21" t="s">
        <v>621</v>
      </c>
      <c r="M169" s="30">
        <v>8509147710</v>
      </c>
      <c r="N169" s="19" t="s">
        <v>622</v>
      </c>
      <c r="O169" s="16"/>
      <c r="P169" s="19"/>
      <c r="Q169" s="24"/>
    </row>
    <row r="170" spans="1:17" ht="18.75" customHeight="1" x14ac:dyDescent="0.25">
      <c r="A170" s="16">
        <f t="shared" ca="1" si="5"/>
        <v>-224</v>
      </c>
      <c r="B170" s="71" t="b">
        <v>0</v>
      </c>
      <c r="C170" s="21" t="s">
        <v>243</v>
      </c>
      <c r="D170" s="58"/>
      <c r="E170" s="16"/>
      <c r="F170" s="21" t="s">
        <v>120</v>
      </c>
      <c r="G170" s="21" t="s">
        <v>269</v>
      </c>
      <c r="H170" s="22">
        <v>46175</v>
      </c>
      <c r="I170" s="21" t="s">
        <v>828</v>
      </c>
      <c r="J170" s="21"/>
      <c r="K170" s="23">
        <f t="shared" si="4"/>
        <v>46540</v>
      </c>
      <c r="L170" s="21" t="s">
        <v>625</v>
      </c>
      <c r="M170" s="30">
        <v>9848346333</v>
      </c>
      <c r="N170" s="19" t="s">
        <v>626</v>
      </c>
      <c r="O170" s="16"/>
      <c r="P170" s="19"/>
      <c r="Q170" s="24"/>
    </row>
    <row r="171" spans="1:17" ht="18.75" customHeight="1" x14ac:dyDescent="0.25">
      <c r="A171" s="16">
        <f t="shared" ca="1" si="5"/>
        <v>-224</v>
      </c>
      <c r="B171" s="71" t="b">
        <v>0</v>
      </c>
      <c r="C171" s="21" t="s">
        <v>244</v>
      </c>
      <c r="D171" s="58"/>
      <c r="E171" s="16"/>
      <c r="F171" s="21" t="s">
        <v>84</v>
      </c>
      <c r="G171" s="21" t="s">
        <v>294</v>
      </c>
      <c r="H171" s="29">
        <v>46175</v>
      </c>
      <c r="I171" s="21" t="s">
        <v>821</v>
      </c>
      <c r="J171" s="21"/>
      <c r="K171" s="23">
        <f t="shared" si="4"/>
        <v>46540</v>
      </c>
      <c r="L171" s="21" t="s">
        <v>623</v>
      </c>
      <c r="M171" s="30"/>
      <c r="N171" s="19" t="s">
        <v>624</v>
      </c>
      <c r="O171" s="16"/>
      <c r="P171" s="19"/>
      <c r="Q171" s="24"/>
    </row>
    <row r="172" spans="1:17" ht="18.75" customHeight="1" x14ac:dyDescent="0.25">
      <c r="A172" s="16">
        <f t="shared" ca="1" si="5"/>
        <v>-224</v>
      </c>
      <c r="B172" s="71" t="b">
        <v>0</v>
      </c>
      <c r="C172" s="21" t="s">
        <v>245</v>
      </c>
      <c r="D172" s="58"/>
      <c r="E172" s="16"/>
      <c r="F172" s="21" t="s">
        <v>120</v>
      </c>
      <c r="G172" s="21" t="s">
        <v>269</v>
      </c>
      <c r="H172" s="22">
        <v>46175</v>
      </c>
      <c r="I172" s="21" t="s">
        <v>274</v>
      </c>
      <c r="J172" s="21"/>
      <c r="K172" s="23">
        <f t="shared" si="4"/>
        <v>46540</v>
      </c>
      <c r="L172" s="21" t="s">
        <v>627</v>
      </c>
      <c r="M172" s="30">
        <v>9675335843</v>
      </c>
      <c r="N172" s="19" t="s">
        <v>628</v>
      </c>
      <c r="O172" s="16"/>
      <c r="P172" s="19"/>
      <c r="Q172" s="24"/>
    </row>
    <row r="173" spans="1:17" ht="18.75" customHeight="1" x14ac:dyDescent="0.25">
      <c r="A173" s="16">
        <f t="shared" ca="1" si="5"/>
        <v>-224</v>
      </c>
      <c r="B173" s="71" t="b">
        <v>0</v>
      </c>
      <c r="C173" s="21" t="s">
        <v>246</v>
      </c>
      <c r="D173" s="58"/>
      <c r="E173" s="16"/>
      <c r="F173" s="21" t="s">
        <v>120</v>
      </c>
      <c r="G173" s="21" t="s">
        <v>269</v>
      </c>
      <c r="H173" s="22">
        <v>46175</v>
      </c>
      <c r="I173" s="21" t="s">
        <v>274</v>
      </c>
      <c r="J173" s="21" t="s">
        <v>274</v>
      </c>
      <c r="K173" s="23">
        <f t="shared" si="4"/>
        <v>46540</v>
      </c>
      <c r="L173" s="21" t="s">
        <v>629</v>
      </c>
      <c r="M173" s="30">
        <v>1142524445</v>
      </c>
      <c r="N173" s="19" t="s">
        <v>630</v>
      </c>
      <c r="O173" s="16"/>
      <c r="P173" s="19"/>
      <c r="Q173" s="24"/>
    </row>
    <row r="174" spans="1:17" ht="18.75" customHeight="1" x14ac:dyDescent="0.25">
      <c r="A174" s="16">
        <f t="shared" ca="1" si="5"/>
        <v>-224</v>
      </c>
      <c r="B174" s="71" t="b">
        <v>0</v>
      </c>
      <c r="C174" s="21" t="s">
        <v>247</v>
      </c>
      <c r="D174" s="58"/>
      <c r="E174" s="16"/>
      <c r="F174" s="21" t="s">
        <v>120</v>
      </c>
      <c r="G174" s="21" t="s">
        <v>269</v>
      </c>
      <c r="H174" s="22">
        <v>46175</v>
      </c>
      <c r="I174" s="21" t="s">
        <v>827</v>
      </c>
      <c r="J174" s="21"/>
      <c r="K174" s="23">
        <f t="shared" si="4"/>
        <v>46540</v>
      </c>
      <c r="L174" s="21" t="s">
        <v>631</v>
      </c>
      <c r="M174" s="30">
        <v>9920150016</v>
      </c>
      <c r="N174" s="19" t="s">
        <v>632</v>
      </c>
      <c r="O174" s="16"/>
      <c r="P174" s="19"/>
      <c r="Q174" s="24"/>
    </row>
    <row r="175" spans="1:17" ht="18.75" customHeight="1" x14ac:dyDescent="0.25">
      <c r="A175" s="16">
        <f t="shared" ca="1" si="5"/>
        <v>-224</v>
      </c>
      <c r="B175" s="71" t="b">
        <v>0</v>
      </c>
      <c r="C175" s="21" t="s">
        <v>248</v>
      </c>
      <c r="D175" s="58"/>
      <c r="E175" s="16"/>
      <c r="F175" s="21" t="s">
        <v>120</v>
      </c>
      <c r="G175" s="21" t="s">
        <v>269</v>
      </c>
      <c r="H175" s="22">
        <v>46175</v>
      </c>
      <c r="I175" s="21" t="s">
        <v>274</v>
      </c>
      <c r="J175" s="21" t="s">
        <v>274</v>
      </c>
      <c r="K175" s="23">
        <f t="shared" si="4"/>
        <v>46540</v>
      </c>
      <c r="L175" s="21" t="s">
        <v>633</v>
      </c>
      <c r="M175" s="30">
        <v>9979866895</v>
      </c>
      <c r="N175" s="19" t="s">
        <v>634</v>
      </c>
      <c r="O175" s="16"/>
      <c r="P175" s="19"/>
      <c r="Q175" s="24"/>
    </row>
    <row r="176" spans="1:17" ht="18.75" customHeight="1" x14ac:dyDescent="0.25">
      <c r="A176" s="16">
        <f t="shared" ca="1" si="5"/>
        <v>-225</v>
      </c>
      <c r="B176" s="71" t="b">
        <v>0</v>
      </c>
      <c r="C176" s="21" t="s">
        <v>249</v>
      </c>
      <c r="D176" s="40">
        <v>100</v>
      </c>
      <c r="E176" s="50">
        <v>45369</v>
      </c>
      <c r="F176" s="51" t="s">
        <v>86</v>
      </c>
      <c r="G176" s="21" t="s">
        <v>273</v>
      </c>
      <c r="H176" s="29">
        <v>46176</v>
      </c>
      <c r="I176" s="21" t="s">
        <v>825</v>
      </c>
      <c r="J176" s="21" t="s">
        <v>278</v>
      </c>
      <c r="K176" s="23">
        <f t="shared" si="4"/>
        <v>46541</v>
      </c>
      <c r="L176" s="21"/>
      <c r="M176" s="30"/>
      <c r="N176" s="31" t="s">
        <v>635</v>
      </c>
      <c r="O176" s="16"/>
      <c r="P176" s="19"/>
      <c r="Q176" s="24"/>
    </row>
    <row r="177" spans="1:17" ht="18.75" customHeight="1" x14ac:dyDescent="0.25">
      <c r="A177" s="16">
        <f t="shared" ca="1" si="5"/>
        <v>-225</v>
      </c>
      <c r="B177" s="71" t="b">
        <v>0</v>
      </c>
      <c r="C177" s="21" t="s">
        <v>250</v>
      </c>
      <c r="D177" s="40">
        <v>80</v>
      </c>
      <c r="E177" s="50">
        <v>45763</v>
      </c>
      <c r="F177" s="51" t="s">
        <v>86</v>
      </c>
      <c r="G177" s="21" t="s">
        <v>273</v>
      </c>
      <c r="H177" s="29">
        <v>46176</v>
      </c>
      <c r="I177" s="21" t="s">
        <v>825</v>
      </c>
      <c r="J177" s="21"/>
      <c r="K177" s="23">
        <f t="shared" si="4"/>
        <v>46541</v>
      </c>
      <c r="L177" s="21"/>
      <c r="M177" s="30"/>
      <c r="N177" s="31" t="s">
        <v>636</v>
      </c>
      <c r="O177" s="16"/>
      <c r="P177" s="19"/>
      <c r="Q177" s="24"/>
    </row>
    <row r="178" spans="1:17" ht="18.75" customHeight="1" x14ac:dyDescent="0.25">
      <c r="A178" s="16">
        <f t="shared" ca="1" si="5"/>
        <v>-226</v>
      </c>
      <c r="B178" s="71" t="b">
        <v>0</v>
      </c>
      <c r="C178" s="21" t="s">
        <v>251</v>
      </c>
      <c r="D178" s="58"/>
      <c r="E178" s="16"/>
      <c r="F178" s="21" t="s">
        <v>252</v>
      </c>
      <c r="G178" s="21" t="s">
        <v>269</v>
      </c>
      <c r="H178" s="22">
        <v>46177</v>
      </c>
      <c r="I178" s="21" t="s">
        <v>274</v>
      </c>
      <c r="J178" s="21" t="s">
        <v>274</v>
      </c>
      <c r="K178" s="23">
        <f t="shared" si="4"/>
        <v>46542</v>
      </c>
      <c r="L178" s="21" t="s">
        <v>637</v>
      </c>
      <c r="M178" s="30"/>
      <c r="N178" s="19" t="s">
        <v>638</v>
      </c>
      <c r="O178" s="16"/>
      <c r="P178" s="19"/>
      <c r="Q178" s="24"/>
    </row>
    <row r="179" spans="1:17" ht="18.75" customHeight="1" x14ac:dyDescent="0.25">
      <c r="A179" s="16">
        <f t="shared" ca="1" si="5"/>
        <v>-226</v>
      </c>
      <c r="B179" s="71" t="b">
        <v>0</v>
      </c>
      <c r="C179" s="21" t="s">
        <v>253</v>
      </c>
      <c r="D179" s="58"/>
      <c r="E179" s="16"/>
      <c r="F179" s="21" t="s">
        <v>252</v>
      </c>
      <c r="G179" s="21" t="s">
        <v>269</v>
      </c>
      <c r="H179" s="22">
        <v>46177</v>
      </c>
      <c r="I179" s="21" t="s">
        <v>274</v>
      </c>
      <c r="J179" s="21" t="s">
        <v>274</v>
      </c>
      <c r="K179" s="23">
        <f t="shared" si="4"/>
        <v>46542</v>
      </c>
      <c r="L179" s="21" t="s">
        <v>637</v>
      </c>
      <c r="M179" s="30"/>
      <c r="N179" s="19" t="s">
        <v>638</v>
      </c>
      <c r="O179" s="16"/>
      <c r="P179" s="19"/>
      <c r="Q179" s="24"/>
    </row>
    <row r="180" spans="1:17" ht="18.75" customHeight="1" x14ac:dyDescent="0.25">
      <c r="A180" s="16">
        <f t="shared" ca="1" si="5"/>
        <v>-231</v>
      </c>
      <c r="B180" s="71" t="b">
        <v>1</v>
      </c>
      <c r="C180" s="21" t="s">
        <v>639</v>
      </c>
      <c r="D180" s="58"/>
      <c r="E180" s="16"/>
      <c r="F180" s="21" t="s">
        <v>252</v>
      </c>
      <c r="G180" s="21" t="s">
        <v>269</v>
      </c>
      <c r="H180" s="22">
        <v>46182</v>
      </c>
      <c r="I180" s="21" t="s">
        <v>306</v>
      </c>
      <c r="J180" s="21" t="s">
        <v>283</v>
      </c>
      <c r="K180" s="23">
        <f t="shared" si="4"/>
        <v>46547</v>
      </c>
      <c r="L180" s="21" t="s">
        <v>637</v>
      </c>
      <c r="M180" s="30"/>
      <c r="N180" s="31" t="s">
        <v>640</v>
      </c>
      <c r="O180" s="16"/>
      <c r="P180" s="19"/>
      <c r="Q180" s="24"/>
    </row>
    <row r="181" spans="1:17" ht="18.75" customHeight="1" x14ac:dyDescent="0.25">
      <c r="A181" s="16">
        <f t="shared" ca="1" si="5"/>
        <v>-233</v>
      </c>
      <c r="B181" s="71" t="b">
        <v>1</v>
      </c>
      <c r="C181" s="21" t="s">
        <v>648</v>
      </c>
      <c r="D181" s="40">
        <v>58</v>
      </c>
      <c r="E181" s="26">
        <v>45762</v>
      </c>
      <c r="F181" s="33" t="s">
        <v>29</v>
      </c>
      <c r="G181" s="28" t="s">
        <v>273</v>
      </c>
      <c r="H181" s="29">
        <v>46184</v>
      </c>
      <c r="I181" s="21" t="s">
        <v>833</v>
      </c>
      <c r="J181" s="21"/>
      <c r="K181" s="23">
        <f t="shared" si="4"/>
        <v>46549</v>
      </c>
      <c r="L181" s="75" t="s">
        <v>649</v>
      </c>
      <c r="M181" s="82"/>
      <c r="N181" s="28" t="s">
        <v>650</v>
      </c>
      <c r="O181" s="16"/>
      <c r="P181" s="19"/>
      <c r="Q181" s="24"/>
    </row>
    <row r="182" spans="1:17" ht="18.75" customHeight="1" x14ac:dyDescent="0.25">
      <c r="A182" s="16">
        <f t="shared" ca="1" si="5"/>
        <v>-233</v>
      </c>
      <c r="B182" s="71" t="b">
        <v>1</v>
      </c>
      <c r="C182" s="21" t="s">
        <v>641</v>
      </c>
      <c r="D182" s="58">
        <v>25.2</v>
      </c>
      <c r="E182" s="24">
        <v>45740</v>
      </c>
      <c r="F182" s="21" t="s">
        <v>100</v>
      </c>
      <c r="G182" s="21" t="s">
        <v>298</v>
      </c>
      <c r="H182" s="22">
        <v>46184</v>
      </c>
      <c r="I182" s="21" t="s">
        <v>440</v>
      </c>
      <c r="J182" s="21" t="s">
        <v>420</v>
      </c>
      <c r="K182" s="23">
        <f t="shared" si="4"/>
        <v>46549</v>
      </c>
      <c r="L182" s="21" t="s">
        <v>642</v>
      </c>
      <c r="M182" s="30">
        <v>8805807976</v>
      </c>
      <c r="N182" s="19" t="s">
        <v>643</v>
      </c>
      <c r="O182" s="16"/>
      <c r="P182" s="19"/>
      <c r="Q182" s="24"/>
    </row>
    <row r="183" spans="1:17" ht="18.75" customHeight="1" x14ac:dyDescent="0.25">
      <c r="A183" s="16">
        <f t="shared" ca="1" si="5"/>
        <v>-233</v>
      </c>
      <c r="B183" s="71" t="b">
        <v>1</v>
      </c>
      <c r="C183" s="21" t="s">
        <v>644</v>
      </c>
      <c r="D183" s="102">
        <v>179.6</v>
      </c>
      <c r="E183" s="24">
        <v>45371</v>
      </c>
      <c r="F183" s="21" t="s">
        <v>100</v>
      </c>
      <c r="G183" s="21" t="s">
        <v>298</v>
      </c>
      <c r="H183" s="22">
        <v>46184</v>
      </c>
      <c r="I183" s="21" t="s">
        <v>645</v>
      </c>
      <c r="J183" s="21" t="s">
        <v>420</v>
      </c>
      <c r="K183" s="23">
        <f t="shared" si="4"/>
        <v>46549</v>
      </c>
      <c r="L183" s="21" t="s">
        <v>646</v>
      </c>
      <c r="M183" s="30">
        <v>8096663355</v>
      </c>
      <c r="N183" s="31" t="s">
        <v>647</v>
      </c>
      <c r="O183" s="16"/>
      <c r="P183" s="19"/>
      <c r="Q183" s="24"/>
    </row>
    <row r="184" spans="1:17" ht="18.75" customHeight="1" x14ac:dyDescent="0.3">
      <c r="A184" s="16">
        <f t="shared" ca="1" si="5"/>
        <v>-234</v>
      </c>
      <c r="B184" s="71" t="b">
        <v>0</v>
      </c>
      <c r="C184" s="21" t="s">
        <v>254</v>
      </c>
      <c r="D184" s="101">
        <v>99.29</v>
      </c>
      <c r="E184" s="16"/>
      <c r="F184" s="21" t="s">
        <v>70</v>
      </c>
      <c r="G184" s="21" t="s">
        <v>294</v>
      </c>
      <c r="H184" s="29">
        <v>46185</v>
      </c>
      <c r="I184" s="21" t="s">
        <v>821</v>
      </c>
      <c r="J184" s="21" t="s">
        <v>278</v>
      </c>
      <c r="K184" s="23">
        <f t="shared" si="4"/>
        <v>46550</v>
      </c>
      <c r="L184" s="21" t="s">
        <v>657</v>
      </c>
      <c r="M184" s="30"/>
      <c r="N184" s="19" t="s">
        <v>658</v>
      </c>
      <c r="O184" s="16"/>
      <c r="P184" s="19"/>
      <c r="Q184" s="24"/>
    </row>
    <row r="185" spans="1:17" ht="18.75" customHeight="1" x14ac:dyDescent="0.25">
      <c r="A185" s="16">
        <f t="shared" ca="1" si="5"/>
        <v>-234</v>
      </c>
      <c r="B185" s="71" t="b">
        <v>1</v>
      </c>
      <c r="C185" s="21" t="s">
        <v>651</v>
      </c>
      <c r="D185" s="58">
        <v>19.82</v>
      </c>
      <c r="E185" s="16"/>
      <c r="F185" s="21" t="s">
        <v>141</v>
      </c>
      <c r="G185" s="21" t="s">
        <v>269</v>
      </c>
      <c r="H185" s="22">
        <v>46185</v>
      </c>
      <c r="I185" s="21" t="s">
        <v>834</v>
      </c>
      <c r="J185" s="21"/>
      <c r="K185" s="23">
        <f t="shared" si="4"/>
        <v>46550</v>
      </c>
      <c r="L185" s="21" t="s">
        <v>652</v>
      </c>
      <c r="M185" s="30">
        <v>7358076655</v>
      </c>
      <c r="N185" s="31" t="s">
        <v>653</v>
      </c>
      <c r="O185" s="16"/>
      <c r="P185" s="19"/>
      <c r="Q185" s="24"/>
    </row>
    <row r="186" spans="1:17" ht="18.75" customHeight="1" x14ac:dyDescent="0.25">
      <c r="A186" s="16">
        <f t="shared" ca="1" si="5"/>
        <v>-234</v>
      </c>
      <c r="B186" s="71" t="b">
        <v>1</v>
      </c>
      <c r="C186" s="21" t="s">
        <v>654</v>
      </c>
      <c r="D186" s="60">
        <v>30</v>
      </c>
      <c r="E186" s="44">
        <v>45740</v>
      </c>
      <c r="F186" s="45" t="s">
        <v>63</v>
      </c>
      <c r="G186" s="21" t="s">
        <v>298</v>
      </c>
      <c r="H186" s="46">
        <v>46185</v>
      </c>
      <c r="I186" s="21" t="s">
        <v>820</v>
      </c>
      <c r="J186" s="21" t="s">
        <v>356</v>
      </c>
      <c r="K186" s="23">
        <f t="shared" si="4"/>
        <v>46550</v>
      </c>
      <c r="L186" s="45" t="s">
        <v>655</v>
      </c>
      <c r="M186" s="83">
        <v>8390115544</v>
      </c>
      <c r="N186" s="77" t="s">
        <v>656</v>
      </c>
      <c r="O186" s="16"/>
      <c r="P186" s="19"/>
      <c r="Q186" s="24"/>
    </row>
    <row r="187" spans="1:17" ht="18.75" customHeight="1" x14ac:dyDescent="0.25">
      <c r="A187" s="16">
        <f t="shared" ca="1" si="5"/>
        <v>-245</v>
      </c>
      <c r="B187" s="71" t="b">
        <v>1</v>
      </c>
      <c r="C187" s="21" t="s">
        <v>676</v>
      </c>
      <c r="D187" s="59">
        <v>120</v>
      </c>
      <c r="E187" s="26">
        <v>45753</v>
      </c>
      <c r="F187" s="27" t="s">
        <v>27</v>
      </c>
      <c r="G187" s="28" t="s">
        <v>273</v>
      </c>
      <c r="H187" s="22">
        <v>46196</v>
      </c>
      <c r="I187" s="21" t="s">
        <v>306</v>
      </c>
      <c r="J187" s="21"/>
      <c r="K187" s="23">
        <f t="shared" si="4"/>
        <v>46561</v>
      </c>
      <c r="L187" s="33" t="s">
        <v>287</v>
      </c>
      <c r="M187" s="32" t="s">
        <v>287</v>
      </c>
      <c r="N187" s="19" t="s">
        <v>677</v>
      </c>
      <c r="O187" s="16"/>
      <c r="P187" s="19" t="s">
        <v>678</v>
      </c>
      <c r="Q187" s="24"/>
    </row>
    <row r="188" spans="1:17" ht="18.75" customHeight="1" x14ac:dyDescent="0.25">
      <c r="A188" s="16">
        <f t="shared" ca="1" si="5"/>
        <v>-245</v>
      </c>
      <c r="B188" s="71" t="b">
        <v>1</v>
      </c>
      <c r="C188" s="21" t="s">
        <v>679</v>
      </c>
      <c r="D188" s="59">
        <v>606.09</v>
      </c>
      <c r="E188" s="26">
        <v>45753</v>
      </c>
      <c r="F188" s="27" t="s">
        <v>27</v>
      </c>
      <c r="G188" s="28" t="s">
        <v>273</v>
      </c>
      <c r="H188" s="22">
        <v>46196</v>
      </c>
      <c r="I188" s="21" t="s">
        <v>306</v>
      </c>
      <c r="J188" s="21"/>
      <c r="K188" s="23">
        <f t="shared" si="4"/>
        <v>46561</v>
      </c>
      <c r="L188" s="33" t="s">
        <v>287</v>
      </c>
      <c r="M188" s="32" t="s">
        <v>287</v>
      </c>
      <c r="N188" s="19" t="s">
        <v>680</v>
      </c>
      <c r="O188" s="16"/>
      <c r="P188" s="19" t="s">
        <v>675</v>
      </c>
      <c r="Q188" s="24"/>
    </row>
    <row r="189" spans="1:17" ht="18.75" customHeight="1" x14ac:dyDescent="0.25">
      <c r="A189" s="16">
        <f t="shared" ca="1" si="5"/>
        <v>-245</v>
      </c>
      <c r="B189" s="71" t="b">
        <v>1</v>
      </c>
      <c r="C189" s="21" t="s">
        <v>684</v>
      </c>
      <c r="D189" s="58">
        <v>40</v>
      </c>
      <c r="E189" s="26">
        <v>46051</v>
      </c>
      <c r="F189" s="28" t="s">
        <v>36</v>
      </c>
      <c r="G189" s="28" t="s">
        <v>273</v>
      </c>
      <c r="H189" s="22">
        <v>46196</v>
      </c>
      <c r="I189" s="21" t="s">
        <v>685</v>
      </c>
      <c r="J189" s="21" t="s">
        <v>686</v>
      </c>
      <c r="K189" s="23">
        <f t="shared" si="4"/>
        <v>46561</v>
      </c>
      <c r="L189" s="21" t="s">
        <v>284</v>
      </c>
      <c r="M189" s="32" t="s">
        <v>285</v>
      </c>
      <c r="N189" s="31" t="s">
        <v>687</v>
      </c>
      <c r="O189" s="16"/>
      <c r="P189" s="19" t="s">
        <v>675</v>
      </c>
      <c r="Q189" s="24"/>
    </row>
    <row r="190" spans="1:17" ht="18.75" customHeight="1" x14ac:dyDescent="0.25">
      <c r="A190" s="16">
        <f t="shared" ca="1" si="5"/>
        <v>-245</v>
      </c>
      <c r="B190" s="71" t="b">
        <v>1</v>
      </c>
      <c r="C190" s="21" t="s">
        <v>669</v>
      </c>
      <c r="D190" s="58">
        <v>27</v>
      </c>
      <c r="E190" s="16"/>
      <c r="F190" s="21" t="s">
        <v>43</v>
      </c>
      <c r="G190" s="21" t="s">
        <v>294</v>
      </c>
      <c r="H190" s="22">
        <v>46196</v>
      </c>
      <c r="I190" s="21" t="s">
        <v>670</v>
      </c>
      <c r="J190" s="21"/>
      <c r="K190" s="23">
        <f t="shared" si="4"/>
        <v>46561</v>
      </c>
      <c r="L190" s="21"/>
      <c r="M190" s="30"/>
      <c r="N190" s="31" t="s">
        <v>671</v>
      </c>
      <c r="O190" s="16"/>
      <c r="P190" s="19" t="s">
        <v>672</v>
      </c>
      <c r="Q190" s="24"/>
    </row>
    <row r="191" spans="1:17" ht="18.75" customHeight="1" x14ac:dyDescent="0.25">
      <c r="A191" s="16">
        <f t="shared" ca="1" si="5"/>
        <v>-245</v>
      </c>
      <c r="B191" s="71" t="b">
        <v>1</v>
      </c>
      <c r="C191" s="49" t="s">
        <v>681</v>
      </c>
      <c r="D191" s="58">
        <v>302</v>
      </c>
      <c r="E191" s="26">
        <v>44412</v>
      </c>
      <c r="F191" s="28" t="s">
        <v>36</v>
      </c>
      <c r="G191" s="28" t="s">
        <v>273</v>
      </c>
      <c r="H191" s="22">
        <v>46196</v>
      </c>
      <c r="I191" s="21" t="s">
        <v>306</v>
      </c>
      <c r="J191" s="21" t="s">
        <v>283</v>
      </c>
      <c r="K191" s="23">
        <f t="shared" si="4"/>
        <v>46561</v>
      </c>
      <c r="L191" s="33" t="s">
        <v>287</v>
      </c>
      <c r="M191" s="32" t="s">
        <v>287</v>
      </c>
      <c r="N191" s="19" t="s">
        <v>682</v>
      </c>
      <c r="O191" s="16"/>
      <c r="P191" s="19" t="s">
        <v>683</v>
      </c>
      <c r="Q191" s="24"/>
    </row>
    <row r="192" spans="1:17" ht="18.75" customHeight="1" x14ac:dyDescent="0.25">
      <c r="A192" s="16">
        <f t="shared" ca="1" si="5"/>
        <v>-245</v>
      </c>
      <c r="B192" s="71" t="b">
        <v>1</v>
      </c>
      <c r="C192" s="21" t="s">
        <v>663</v>
      </c>
      <c r="D192" s="40">
        <v>117.61</v>
      </c>
      <c r="E192" s="26">
        <v>44199</v>
      </c>
      <c r="F192" s="33" t="s">
        <v>29</v>
      </c>
      <c r="G192" s="28" t="s">
        <v>273</v>
      </c>
      <c r="H192" s="22">
        <v>46196</v>
      </c>
      <c r="I192" s="21" t="s">
        <v>664</v>
      </c>
      <c r="J192" s="21" t="s">
        <v>665</v>
      </c>
      <c r="K192" s="23">
        <f t="shared" si="4"/>
        <v>46561</v>
      </c>
      <c r="L192" s="75" t="s">
        <v>666</v>
      </c>
      <c r="M192" s="82"/>
      <c r="N192" s="28" t="s">
        <v>667</v>
      </c>
      <c r="O192" s="16"/>
      <c r="P192" s="19" t="s">
        <v>668</v>
      </c>
      <c r="Q192" s="24"/>
    </row>
    <row r="193" spans="1:17" ht="18.75" customHeight="1" x14ac:dyDescent="0.25">
      <c r="A193" s="16">
        <f t="shared" ca="1" si="5"/>
        <v>-245</v>
      </c>
      <c r="B193" s="71" t="b">
        <v>1</v>
      </c>
      <c r="C193" s="21" t="s">
        <v>673</v>
      </c>
      <c r="D193" s="59">
        <v>70.3</v>
      </c>
      <c r="E193" s="26">
        <v>45753</v>
      </c>
      <c r="F193" s="27" t="s">
        <v>27</v>
      </c>
      <c r="G193" s="28" t="s">
        <v>273</v>
      </c>
      <c r="H193" s="22">
        <v>46196</v>
      </c>
      <c r="I193" s="21" t="s">
        <v>306</v>
      </c>
      <c r="J193" s="21"/>
      <c r="K193" s="23">
        <f t="shared" si="4"/>
        <v>46561</v>
      </c>
      <c r="L193" s="75"/>
      <c r="M193" s="82"/>
      <c r="N193" s="28" t="s">
        <v>674</v>
      </c>
      <c r="O193" s="16"/>
      <c r="P193" s="19" t="s">
        <v>675</v>
      </c>
      <c r="Q193" s="24"/>
    </row>
    <row r="194" spans="1:17" ht="18.75" customHeight="1" x14ac:dyDescent="0.25">
      <c r="A194" s="16">
        <f t="shared" ca="1" si="5"/>
        <v>-255</v>
      </c>
      <c r="B194" s="71" t="b">
        <v>1</v>
      </c>
      <c r="C194" s="21" t="s">
        <v>688</v>
      </c>
      <c r="D194" s="58">
        <v>43.92</v>
      </c>
      <c r="E194" s="26">
        <v>46239</v>
      </c>
      <c r="F194" s="21" t="s">
        <v>41</v>
      </c>
      <c r="G194" s="28" t="s">
        <v>273</v>
      </c>
      <c r="H194" s="29">
        <v>46206</v>
      </c>
      <c r="I194" s="21" t="s">
        <v>831</v>
      </c>
      <c r="J194" s="21" t="s">
        <v>278</v>
      </c>
      <c r="K194" s="23">
        <f t="shared" ref="K194:K257" si="6">EDATE(H194,12)</f>
        <v>46571</v>
      </c>
      <c r="L194" s="21" t="s">
        <v>689</v>
      </c>
      <c r="M194" s="30">
        <v>9867020252</v>
      </c>
      <c r="N194" s="31" t="s">
        <v>690</v>
      </c>
      <c r="O194" s="16"/>
      <c r="P194" s="19" t="s">
        <v>675</v>
      </c>
      <c r="Q194" s="24"/>
    </row>
    <row r="195" spans="1:17" ht="18.75" customHeight="1" x14ac:dyDescent="0.25">
      <c r="A195" s="16">
        <f t="shared" ca="1" si="5"/>
        <v>-255</v>
      </c>
      <c r="B195" s="71" t="b">
        <v>1</v>
      </c>
      <c r="C195" s="21" t="s">
        <v>691</v>
      </c>
      <c r="D195" s="59">
        <v>30</v>
      </c>
      <c r="E195" s="26">
        <v>45789</v>
      </c>
      <c r="F195" s="27" t="s">
        <v>23</v>
      </c>
      <c r="G195" s="28" t="s">
        <v>273</v>
      </c>
      <c r="H195" s="29">
        <v>46206</v>
      </c>
      <c r="I195" s="21" t="s">
        <v>835</v>
      </c>
      <c r="J195" s="21"/>
      <c r="K195" s="23">
        <f t="shared" si="6"/>
        <v>46571</v>
      </c>
      <c r="L195" s="21" t="s">
        <v>692</v>
      </c>
      <c r="M195" s="30">
        <v>9441423666</v>
      </c>
      <c r="N195" s="31" t="s">
        <v>693</v>
      </c>
      <c r="O195" s="16"/>
      <c r="P195" s="19" t="s">
        <v>694</v>
      </c>
      <c r="Q195" s="24"/>
    </row>
    <row r="196" spans="1:17" ht="18.75" customHeight="1" x14ac:dyDescent="0.25">
      <c r="A196" s="16">
        <f t="shared" ca="1" si="5"/>
        <v>-258</v>
      </c>
      <c r="B196" s="71" t="b">
        <v>1</v>
      </c>
      <c r="C196" s="21" t="s">
        <v>697</v>
      </c>
      <c r="D196" s="58">
        <v>11.29</v>
      </c>
      <c r="E196" s="16"/>
      <c r="F196" s="21" t="s">
        <v>84</v>
      </c>
      <c r="G196" s="21" t="s">
        <v>294</v>
      </c>
      <c r="H196" s="29">
        <v>46209</v>
      </c>
      <c r="I196" s="21" t="s">
        <v>828</v>
      </c>
      <c r="J196" s="21"/>
      <c r="K196" s="23">
        <f t="shared" si="6"/>
        <v>46574</v>
      </c>
      <c r="L196" s="21"/>
      <c r="M196" s="30"/>
      <c r="N196" s="31" t="s">
        <v>698</v>
      </c>
      <c r="O196" s="16"/>
      <c r="P196" s="19" t="s">
        <v>675</v>
      </c>
      <c r="Q196" s="24"/>
    </row>
    <row r="197" spans="1:17" ht="18.75" customHeight="1" x14ac:dyDescent="0.25">
      <c r="A197" s="16">
        <f t="shared" ca="1" si="5"/>
        <v>-258</v>
      </c>
      <c r="B197" s="71" t="b">
        <v>1</v>
      </c>
      <c r="C197" s="21" t="s">
        <v>699</v>
      </c>
      <c r="D197" s="58">
        <v>65</v>
      </c>
      <c r="E197" s="16"/>
      <c r="F197" s="21" t="s">
        <v>84</v>
      </c>
      <c r="G197" s="21" t="s">
        <v>294</v>
      </c>
      <c r="H197" s="29">
        <v>46209</v>
      </c>
      <c r="I197" s="21" t="s">
        <v>274</v>
      </c>
      <c r="J197" s="21"/>
      <c r="K197" s="23">
        <f t="shared" si="6"/>
        <v>46574</v>
      </c>
      <c r="L197" s="21"/>
      <c r="M197" s="30"/>
      <c r="N197" s="31" t="s">
        <v>700</v>
      </c>
      <c r="O197" s="16"/>
      <c r="P197" s="19" t="s">
        <v>675</v>
      </c>
      <c r="Q197" s="24"/>
    </row>
    <row r="198" spans="1:17" ht="18.75" customHeight="1" x14ac:dyDescent="0.25">
      <c r="A198" s="16">
        <f t="shared" ref="A198:A261" ca="1" si="7">IF(OR(I198="Withdrawn",R198="Transfer"),"",($A$1-H198)-365)</f>
        <v>-258</v>
      </c>
      <c r="B198" s="71" t="b">
        <v>1</v>
      </c>
      <c r="C198" s="49" t="s">
        <v>861</v>
      </c>
      <c r="D198" s="58">
        <v>82.38</v>
      </c>
      <c r="E198" s="16"/>
      <c r="F198" s="21" t="s">
        <v>134</v>
      </c>
      <c r="G198" s="21" t="s">
        <v>294</v>
      </c>
      <c r="H198" s="29">
        <v>46209</v>
      </c>
      <c r="I198" s="21" t="s">
        <v>825</v>
      </c>
      <c r="J198" s="21"/>
      <c r="K198" s="23">
        <f t="shared" si="6"/>
        <v>46574</v>
      </c>
      <c r="L198" s="21" t="s">
        <v>695</v>
      </c>
      <c r="M198" s="30"/>
      <c r="N198" s="19" t="s">
        <v>696</v>
      </c>
      <c r="O198" s="16"/>
      <c r="P198" s="19"/>
      <c r="Q198" s="24"/>
    </row>
    <row r="199" spans="1:17" ht="18.75" customHeight="1" x14ac:dyDescent="0.25">
      <c r="A199" s="16">
        <f t="shared" ca="1" si="7"/>
        <v>-258</v>
      </c>
      <c r="B199" s="71" t="b">
        <v>1</v>
      </c>
      <c r="C199" s="21" t="s">
        <v>711</v>
      </c>
      <c r="D199" s="58">
        <v>268.87</v>
      </c>
      <c r="E199" s="16"/>
      <c r="F199" s="21" t="s">
        <v>20</v>
      </c>
      <c r="G199" s="21" t="s">
        <v>294</v>
      </c>
      <c r="H199" s="29">
        <v>46209</v>
      </c>
      <c r="I199" s="21" t="s">
        <v>823</v>
      </c>
      <c r="J199" s="21" t="s">
        <v>278</v>
      </c>
      <c r="K199" s="23">
        <f t="shared" si="6"/>
        <v>46574</v>
      </c>
      <c r="L199" s="21"/>
      <c r="M199" s="30"/>
      <c r="N199" s="31" t="s">
        <v>712</v>
      </c>
      <c r="O199" s="16"/>
      <c r="P199" s="19" t="s">
        <v>675</v>
      </c>
      <c r="Q199" s="24"/>
    </row>
    <row r="200" spans="1:17" ht="18.75" customHeight="1" x14ac:dyDescent="0.25">
      <c r="A200" s="16">
        <f t="shared" ca="1" si="7"/>
        <v>-258</v>
      </c>
      <c r="B200" s="71" t="b">
        <v>1</v>
      </c>
      <c r="C200" s="21" t="s">
        <v>708</v>
      </c>
      <c r="D200" s="58">
        <v>27</v>
      </c>
      <c r="E200" s="16"/>
      <c r="F200" s="21" t="s">
        <v>13</v>
      </c>
      <c r="G200" s="21" t="s">
        <v>294</v>
      </c>
      <c r="H200" s="29">
        <v>46209</v>
      </c>
      <c r="I200" s="21" t="s">
        <v>274</v>
      </c>
      <c r="J200" s="21"/>
      <c r="K200" s="23">
        <f t="shared" si="6"/>
        <v>46574</v>
      </c>
      <c r="L200" s="21"/>
      <c r="M200" s="30"/>
      <c r="N200" s="31" t="s">
        <v>709</v>
      </c>
      <c r="O200" s="16"/>
      <c r="P200" s="19" t="s">
        <v>710</v>
      </c>
      <c r="Q200" s="24"/>
    </row>
    <row r="201" spans="1:17" ht="18.75" customHeight="1" x14ac:dyDescent="0.25">
      <c r="A201" s="16">
        <f t="shared" ca="1" si="7"/>
        <v>-258</v>
      </c>
      <c r="B201" s="71" t="b">
        <v>1</v>
      </c>
      <c r="C201" s="21" t="s">
        <v>701</v>
      </c>
      <c r="D201" s="40">
        <v>15.29</v>
      </c>
      <c r="E201" s="26">
        <v>44552</v>
      </c>
      <c r="F201" s="33" t="s">
        <v>29</v>
      </c>
      <c r="G201" s="28" t="s">
        <v>273</v>
      </c>
      <c r="H201" s="29">
        <v>46209</v>
      </c>
      <c r="I201" s="21" t="s">
        <v>832</v>
      </c>
      <c r="J201" s="21" t="s">
        <v>278</v>
      </c>
      <c r="K201" s="23">
        <f t="shared" si="6"/>
        <v>46574</v>
      </c>
      <c r="L201" s="75" t="s">
        <v>702</v>
      </c>
      <c r="M201" s="82"/>
      <c r="N201" s="28" t="s">
        <v>703</v>
      </c>
      <c r="O201" s="16"/>
      <c r="P201" s="19" t="s">
        <v>704</v>
      </c>
      <c r="Q201" s="24"/>
    </row>
    <row r="202" spans="1:17" ht="18.75" customHeight="1" x14ac:dyDescent="0.25">
      <c r="A202" s="16">
        <f t="shared" ca="1" si="7"/>
        <v>-258</v>
      </c>
      <c r="B202" s="71" t="b">
        <v>1</v>
      </c>
      <c r="C202" s="21" t="s">
        <v>705</v>
      </c>
      <c r="D202" s="40">
        <v>26.44</v>
      </c>
      <c r="E202" s="26">
        <v>45202</v>
      </c>
      <c r="F202" s="33" t="s">
        <v>29</v>
      </c>
      <c r="G202" s="28" t="s">
        <v>273</v>
      </c>
      <c r="H202" s="29">
        <v>46209</v>
      </c>
      <c r="I202" s="21" t="s">
        <v>827</v>
      </c>
      <c r="J202" s="33"/>
      <c r="K202" s="23">
        <f t="shared" si="6"/>
        <v>46574</v>
      </c>
      <c r="L202" s="21" t="s">
        <v>427</v>
      </c>
      <c r="M202" s="30">
        <v>9646526666</v>
      </c>
      <c r="N202" s="31" t="s">
        <v>706</v>
      </c>
      <c r="O202" s="16"/>
      <c r="P202" s="19" t="s">
        <v>707</v>
      </c>
      <c r="Q202" s="24"/>
    </row>
    <row r="203" spans="1:17" ht="18.75" customHeight="1" x14ac:dyDescent="0.25">
      <c r="A203" s="16">
        <f t="shared" ca="1" si="7"/>
        <v>-266</v>
      </c>
      <c r="B203" s="71" t="b">
        <v>1</v>
      </c>
      <c r="C203" s="21" t="s">
        <v>713</v>
      </c>
      <c r="D203" s="59">
        <v>75</v>
      </c>
      <c r="E203" s="26">
        <v>45807</v>
      </c>
      <c r="F203" s="27" t="s">
        <v>114</v>
      </c>
      <c r="G203" s="27" t="s">
        <v>296</v>
      </c>
      <c r="H203" s="29">
        <v>46217</v>
      </c>
      <c r="I203" s="27" t="s">
        <v>821</v>
      </c>
      <c r="J203" s="27" t="s">
        <v>278</v>
      </c>
      <c r="K203" s="23">
        <f t="shared" si="6"/>
        <v>46582</v>
      </c>
      <c r="L203" s="33" t="s">
        <v>287</v>
      </c>
      <c r="M203" s="32" t="s">
        <v>287</v>
      </c>
      <c r="N203" s="31" t="s">
        <v>714</v>
      </c>
      <c r="O203" s="16"/>
      <c r="P203" s="19"/>
      <c r="Q203" s="24"/>
    </row>
    <row r="204" spans="1:17" ht="18.75" customHeight="1" x14ac:dyDescent="0.25">
      <c r="A204" s="16">
        <f t="shared" ca="1" si="7"/>
        <v>-267</v>
      </c>
      <c r="B204" s="71" t="b">
        <v>1</v>
      </c>
      <c r="C204" s="21" t="s">
        <v>734</v>
      </c>
      <c r="D204" s="58">
        <v>55.95</v>
      </c>
      <c r="E204" s="16"/>
      <c r="F204" s="21" t="s">
        <v>134</v>
      </c>
      <c r="G204" s="21" t="s">
        <v>294</v>
      </c>
      <c r="H204" s="29">
        <v>46218</v>
      </c>
      <c r="I204" s="21" t="s">
        <v>825</v>
      </c>
      <c r="J204" s="21" t="s">
        <v>278</v>
      </c>
      <c r="K204" s="23">
        <f t="shared" si="6"/>
        <v>46583</v>
      </c>
      <c r="L204" s="21" t="s">
        <v>735</v>
      </c>
      <c r="M204" s="30"/>
      <c r="N204" s="31" t="s">
        <v>736</v>
      </c>
      <c r="O204" s="16"/>
      <c r="P204" s="19" t="s">
        <v>704</v>
      </c>
      <c r="Q204" s="24">
        <v>46213</v>
      </c>
    </row>
    <row r="205" spans="1:17" ht="18.75" customHeight="1" x14ac:dyDescent="0.25">
      <c r="A205" s="16">
        <f t="shared" ca="1" si="7"/>
        <v>-267</v>
      </c>
      <c r="B205" s="71" t="b">
        <v>1</v>
      </c>
      <c r="C205" s="21" t="s">
        <v>737</v>
      </c>
      <c r="D205" s="58">
        <v>45.25</v>
      </c>
      <c r="E205" s="16"/>
      <c r="F205" s="21" t="s">
        <v>134</v>
      </c>
      <c r="G205" s="21" t="s">
        <v>294</v>
      </c>
      <c r="H205" s="29">
        <v>46218</v>
      </c>
      <c r="I205" s="21" t="s">
        <v>825</v>
      </c>
      <c r="J205" s="21" t="s">
        <v>278</v>
      </c>
      <c r="K205" s="23">
        <f t="shared" si="6"/>
        <v>46583</v>
      </c>
      <c r="L205" s="21" t="s">
        <v>735</v>
      </c>
      <c r="M205" s="30"/>
      <c r="N205" s="31" t="s">
        <v>738</v>
      </c>
      <c r="O205" s="16"/>
      <c r="P205" s="19" t="s">
        <v>704</v>
      </c>
      <c r="Q205" s="24">
        <v>46213</v>
      </c>
    </row>
    <row r="206" spans="1:17" ht="18.75" customHeight="1" x14ac:dyDescent="0.25">
      <c r="A206" s="16">
        <f t="shared" ca="1" si="7"/>
        <v>-267</v>
      </c>
      <c r="B206" s="71" t="b">
        <v>1</v>
      </c>
      <c r="C206" s="21" t="s">
        <v>729</v>
      </c>
      <c r="D206" s="40">
        <v>17.59</v>
      </c>
      <c r="E206" s="26">
        <v>44560</v>
      </c>
      <c r="F206" s="33" t="s">
        <v>29</v>
      </c>
      <c r="G206" s="28" t="s">
        <v>273</v>
      </c>
      <c r="H206" s="29">
        <v>46218</v>
      </c>
      <c r="I206" s="21" t="s">
        <v>830</v>
      </c>
      <c r="J206" s="21" t="s">
        <v>278</v>
      </c>
      <c r="K206" s="23">
        <f t="shared" si="6"/>
        <v>46583</v>
      </c>
      <c r="L206" s="21" t="s">
        <v>387</v>
      </c>
      <c r="M206" s="30">
        <v>9990359554</v>
      </c>
      <c r="N206" s="19" t="s">
        <v>730</v>
      </c>
      <c r="O206" s="16"/>
      <c r="P206" s="19" t="s">
        <v>704</v>
      </c>
      <c r="Q206" s="24">
        <v>46213</v>
      </c>
    </row>
    <row r="207" spans="1:17" ht="18.75" customHeight="1" x14ac:dyDescent="0.25">
      <c r="A207" s="16">
        <f t="shared" ca="1" si="7"/>
        <v>-267</v>
      </c>
      <c r="B207" s="71" t="b">
        <v>1</v>
      </c>
      <c r="C207" s="21" t="s">
        <v>726</v>
      </c>
      <c r="D207" s="59">
        <v>390</v>
      </c>
      <c r="E207" s="26">
        <v>45002</v>
      </c>
      <c r="F207" s="27" t="s">
        <v>17</v>
      </c>
      <c r="G207" s="27" t="s">
        <v>296</v>
      </c>
      <c r="H207" s="29">
        <v>46218</v>
      </c>
      <c r="I207" s="21" t="s">
        <v>826</v>
      </c>
      <c r="J207" s="21" t="s">
        <v>278</v>
      </c>
      <c r="K207" s="23">
        <f t="shared" si="6"/>
        <v>46583</v>
      </c>
      <c r="L207" s="33" t="s">
        <v>396</v>
      </c>
      <c r="M207" s="32">
        <v>9920769591</v>
      </c>
      <c r="N207" s="31" t="s">
        <v>727</v>
      </c>
      <c r="O207" s="16"/>
      <c r="P207" s="19" t="s">
        <v>728</v>
      </c>
      <c r="Q207" s="24">
        <v>46213</v>
      </c>
    </row>
    <row r="208" spans="1:17" ht="18.75" customHeight="1" x14ac:dyDescent="0.25">
      <c r="A208" s="16">
        <f t="shared" ca="1" si="7"/>
        <v>-267</v>
      </c>
      <c r="B208" s="71" t="b">
        <v>1</v>
      </c>
      <c r="C208" s="21" t="s">
        <v>723</v>
      </c>
      <c r="D208" s="40">
        <v>163</v>
      </c>
      <c r="E208" s="26">
        <v>44561</v>
      </c>
      <c r="F208" s="33" t="s">
        <v>29</v>
      </c>
      <c r="G208" s="28" t="s">
        <v>273</v>
      </c>
      <c r="H208" s="29">
        <v>46218</v>
      </c>
      <c r="I208" s="21" t="s">
        <v>274</v>
      </c>
      <c r="J208" s="21"/>
      <c r="K208" s="23">
        <f t="shared" si="6"/>
        <v>46583</v>
      </c>
      <c r="L208" s="33" t="s">
        <v>287</v>
      </c>
      <c r="M208" s="32" t="s">
        <v>287</v>
      </c>
      <c r="N208" s="34" t="s">
        <v>724</v>
      </c>
      <c r="O208" s="16"/>
      <c r="P208" s="19" t="s">
        <v>725</v>
      </c>
      <c r="Q208" s="24">
        <v>46213</v>
      </c>
    </row>
    <row r="209" spans="1:17" ht="18.75" customHeight="1" x14ac:dyDescent="0.25">
      <c r="A209" s="16">
        <f t="shared" ca="1" si="7"/>
        <v>-267</v>
      </c>
      <c r="B209" s="71" t="b">
        <v>1</v>
      </c>
      <c r="C209" s="21" t="s">
        <v>721</v>
      </c>
      <c r="D209" s="58">
        <v>160.04</v>
      </c>
      <c r="E209" s="16"/>
      <c r="F209" s="21" t="s">
        <v>20</v>
      </c>
      <c r="G209" s="21" t="s">
        <v>294</v>
      </c>
      <c r="H209" s="29">
        <v>46218</v>
      </c>
      <c r="I209" s="21" t="s">
        <v>821</v>
      </c>
      <c r="J209" s="21"/>
      <c r="K209" s="23">
        <f t="shared" si="6"/>
        <v>46583</v>
      </c>
      <c r="L209" s="21"/>
      <c r="M209" s="30"/>
      <c r="N209" s="31" t="s">
        <v>722</v>
      </c>
      <c r="O209" s="16"/>
      <c r="P209" s="19" t="s">
        <v>718</v>
      </c>
      <c r="Q209" s="24">
        <v>46213</v>
      </c>
    </row>
    <row r="210" spans="1:17" ht="18.75" customHeight="1" x14ac:dyDescent="0.25">
      <c r="A210" s="16">
        <f t="shared" ca="1" si="7"/>
        <v>-267</v>
      </c>
      <c r="B210" s="71" t="b">
        <v>1</v>
      </c>
      <c r="C210" s="21" t="s">
        <v>731</v>
      </c>
      <c r="D210" s="58">
        <v>14.5</v>
      </c>
      <c r="E210" s="16"/>
      <c r="F210" s="21" t="s">
        <v>84</v>
      </c>
      <c r="G210" s="21" t="s">
        <v>294</v>
      </c>
      <c r="H210" s="29">
        <v>46218</v>
      </c>
      <c r="I210" s="21" t="s">
        <v>274</v>
      </c>
      <c r="J210" s="21"/>
      <c r="K210" s="23">
        <f t="shared" si="6"/>
        <v>46583</v>
      </c>
      <c r="L210" s="21" t="s">
        <v>732</v>
      </c>
      <c r="M210" s="30"/>
      <c r="N210" s="31" t="s">
        <v>733</v>
      </c>
      <c r="O210" s="16"/>
      <c r="P210" s="19" t="s">
        <v>668</v>
      </c>
      <c r="Q210" s="24">
        <v>46213</v>
      </c>
    </row>
    <row r="211" spans="1:17" ht="18.75" customHeight="1" x14ac:dyDescent="0.25">
      <c r="A211" s="16">
        <f t="shared" ca="1" si="7"/>
        <v>-267</v>
      </c>
      <c r="B211" s="71" t="b">
        <v>1</v>
      </c>
      <c r="C211" s="21" t="s">
        <v>719</v>
      </c>
      <c r="D211" s="58">
        <v>141.68</v>
      </c>
      <c r="E211" s="16"/>
      <c r="F211" s="21" t="s">
        <v>20</v>
      </c>
      <c r="G211" s="21" t="s">
        <v>294</v>
      </c>
      <c r="H211" s="29">
        <v>46218</v>
      </c>
      <c r="I211" s="21" t="s">
        <v>824</v>
      </c>
      <c r="J211" s="21" t="s">
        <v>281</v>
      </c>
      <c r="K211" s="23">
        <f t="shared" si="6"/>
        <v>46583</v>
      </c>
      <c r="L211" s="21"/>
      <c r="M211" s="30"/>
      <c r="N211" s="31" t="s">
        <v>712</v>
      </c>
      <c r="O211" s="16"/>
      <c r="P211" s="19" t="s">
        <v>720</v>
      </c>
      <c r="Q211" s="24">
        <v>46213</v>
      </c>
    </row>
    <row r="212" spans="1:17" ht="18.75" customHeight="1" x14ac:dyDescent="0.25">
      <c r="A212" s="16">
        <f t="shared" ca="1" si="7"/>
        <v>-267</v>
      </c>
      <c r="B212" s="71" t="b">
        <v>1</v>
      </c>
      <c r="C212" s="21" t="s">
        <v>715</v>
      </c>
      <c r="D212" s="58">
        <v>35</v>
      </c>
      <c r="E212" s="16"/>
      <c r="F212" s="21" t="s">
        <v>58</v>
      </c>
      <c r="G212" s="21" t="s">
        <v>294</v>
      </c>
      <c r="H212" s="29">
        <v>46218</v>
      </c>
      <c r="I212" s="21" t="s">
        <v>823</v>
      </c>
      <c r="J212" s="21"/>
      <c r="K212" s="23">
        <f t="shared" si="6"/>
        <v>46583</v>
      </c>
      <c r="L212" s="21" t="s">
        <v>716</v>
      </c>
      <c r="M212" s="30"/>
      <c r="N212" s="31" t="s">
        <v>717</v>
      </c>
      <c r="O212" s="16"/>
      <c r="P212" s="19" t="s">
        <v>718</v>
      </c>
      <c r="Q212" s="24">
        <v>46213</v>
      </c>
    </row>
    <row r="213" spans="1:17" ht="18.75" customHeight="1" x14ac:dyDescent="0.25">
      <c r="A213" s="16">
        <f t="shared" ca="1" si="7"/>
        <v>-268</v>
      </c>
      <c r="B213" s="71" t="b">
        <v>1</v>
      </c>
      <c r="C213" s="21" t="s">
        <v>739</v>
      </c>
      <c r="D213" s="47">
        <v>91.43</v>
      </c>
      <c r="E213" s="48">
        <v>44200</v>
      </c>
      <c r="F213" s="33" t="s">
        <v>65</v>
      </c>
      <c r="G213" s="21" t="s">
        <v>298</v>
      </c>
      <c r="H213" s="29">
        <v>46219</v>
      </c>
      <c r="I213" s="21" t="s">
        <v>829</v>
      </c>
      <c r="J213" s="21" t="s">
        <v>371</v>
      </c>
      <c r="K213" s="23">
        <f t="shared" si="6"/>
        <v>46584</v>
      </c>
      <c r="L213" s="33" t="s">
        <v>740</v>
      </c>
      <c r="M213" s="32">
        <v>9838776751</v>
      </c>
      <c r="N213" s="34" t="s">
        <v>741</v>
      </c>
      <c r="O213" s="16"/>
      <c r="P213" s="19" t="s">
        <v>742</v>
      </c>
      <c r="Q213" s="24">
        <v>46219</v>
      </c>
    </row>
    <row r="214" spans="1:17" ht="18.75" customHeight="1" x14ac:dyDescent="0.25">
      <c r="A214" s="16">
        <f t="shared" ca="1" si="7"/>
        <v>-272</v>
      </c>
      <c r="B214" s="71" t="b">
        <v>1</v>
      </c>
      <c r="C214" s="21" t="s">
        <v>754</v>
      </c>
      <c r="D214" s="35">
        <v>96.92</v>
      </c>
      <c r="E214" s="36">
        <v>45404</v>
      </c>
      <c r="F214" s="37" t="s">
        <v>19</v>
      </c>
      <c r="G214" s="21" t="s">
        <v>298</v>
      </c>
      <c r="H214" s="29">
        <v>46223</v>
      </c>
      <c r="I214" s="21" t="s">
        <v>825</v>
      </c>
      <c r="J214" s="21" t="s">
        <v>331</v>
      </c>
      <c r="K214" s="23">
        <f t="shared" si="6"/>
        <v>46588</v>
      </c>
      <c r="L214" s="37" t="s">
        <v>755</v>
      </c>
      <c r="M214" s="79">
        <v>9894600727</v>
      </c>
      <c r="N214" s="38" t="s">
        <v>756</v>
      </c>
      <c r="O214" s="16"/>
      <c r="P214" s="19" t="s">
        <v>745</v>
      </c>
      <c r="Q214" s="24">
        <v>46219</v>
      </c>
    </row>
    <row r="215" spans="1:17" ht="18.75" customHeight="1" x14ac:dyDescent="0.25">
      <c r="A215" s="16">
        <f t="shared" ca="1" si="7"/>
        <v>-272</v>
      </c>
      <c r="B215" s="71" t="b">
        <v>1</v>
      </c>
      <c r="C215" s="21" t="s">
        <v>760</v>
      </c>
      <c r="D215" s="58">
        <v>63</v>
      </c>
      <c r="E215" s="24">
        <v>45803</v>
      </c>
      <c r="F215" s="21" t="s">
        <v>100</v>
      </c>
      <c r="G215" s="21" t="s">
        <v>298</v>
      </c>
      <c r="H215" s="29">
        <v>46223</v>
      </c>
      <c r="I215" s="21" t="s">
        <v>829</v>
      </c>
      <c r="J215" s="21" t="s">
        <v>278</v>
      </c>
      <c r="K215" s="23">
        <f t="shared" si="6"/>
        <v>46588</v>
      </c>
      <c r="L215" s="21" t="s">
        <v>761</v>
      </c>
      <c r="M215" s="30">
        <v>9600050694</v>
      </c>
      <c r="N215" s="19" t="s">
        <v>762</v>
      </c>
      <c r="O215" s="16"/>
      <c r="P215" s="19" t="s">
        <v>675</v>
      </c>
      <c r="Q215" s="24">
        <v>46220</v>
      </c>
    </row>
    <row r="216" spans="1:17" ht="18.75" customHeight="1" x14ac:dyDescent="0.25">
      <c r="A216" s="16">
        <f t="shared" ca="1" si="7"/>
        <v>-272</v>
      </c>
      <c r="B216" s="71" t="b">
        <v>1</v>
      </c>
      <c r="C216" s="21" t="s">
        <v>750</v>
      </c>
      <c r="D216" s="58">
        <v>147</v>
      </c>
      <c r="E216" s="16"/>
      <c r="F216" s="21" t="s">
        <v>84</v>
      </c>
      <c r="G216" s="21" t="s">
        <v>294</v>
      </c>
      <c r="H216" s="29">
        <v>46223</v>
      </c>
      <c r="I216" s="21" t="s">
        <v>826</v>
      </c>
      <c r="J216" s="21" t="s">
        <v>278</v>
      </c>
      <c r="K216" s="23">
        <f t="shared" si="6"/>
        <v>46588</v>
      </c>
      <c r="L216" s="21"/>
      <c r="M216" s="30"/>
      <c r="N216" s="31" t="s">
        <v>751</v>
      </c>
      <c r="O216" s="16"/>
      <c r="P216" s="19" t="s">
        <v>668</v>
      </c>
      <c r="Q216" s="24">
        <v>46219</v>
      </c>
    </row>
    <row r="217" spans="1:17" ht="18.75" customHeight="1" x14ac:dyDescent="0.25">
      <c r="A217" s="16">
        <f t="shared" ca="1" si="7"/>
        <v>-272</v>
      </c>
      <c r="B217" s="71" t="b">
        <v>1</v>
      </c>
      <c r="C217" s="21" t="s">
        <v>752</v>
      </c>
      <c r="D217" s="59">
        <v>100</v>
      </c>
      <c r="E217" s="26">
        <v>44198</v>
      </c>
      <c r="F217" s="27" t="s">
        <v>6</v>
      </c>
      <c r="G217" s="28" t="s">
        <v>273</v>
      </c>
      <c r="H217" s="29">
        <v>46223</v>
      </c>
      <c r="I217" s="21" t="s">
        <v>827</v>
      </c>
      <c r="J217" s="21" t="s">
        <v>278</v>
      </c>
      <c r="K217" s="23">
        <f t="shared" si="6"/>
        <v>46588</v>
      </c>
      <c r="L217" s="33" t="s">
        <v>287</v>
      </c>
      <c r="M217" s="32" t="s">
        <v>287</v>
      </c>
      <c r="N217" s="19" t="s">
        <v>753</v>
      </c>
      <c r="O217" s="16"/>
      <c r="P217" s="19" t="s">
        <v>725</v>
      </c>
      <c r="Q217" s="24">
        <v>46219</v>
      </c>
    </row>
    <row r="218" spans="1:17" ht="18.75" customHeight="1" x14ac:dyDescent="0.25">
      <c r="A218" s="16">
        <f t="shared" ca="1" si="7"/>
        <v>-272</v>
      </c>
      <c r="B218" s="71" t="b">
        <v>1</v>
      </c>
      <c r="C218" s="21" t="s">
        <v>746</v>
      </c>
      <c r="D218" s="58">
        <v>50</v>
      </c>
      <c r="E218" s="26">
        <v>46148</v>
      </c>
      <c r="F218" s="21" t="s">
        <v>41</v>
      </c>
      <c r="G218" s="28" t="s">
        <v>273</v>
      </c>
      <c r="H218" s="29">
        <v>46223</v>
      </c>
      <c r="I218" s="21" t="s">
        <v>821</v>
      </c>
      <c r="J218" s="21" t="s">
        <v>278</v>
      </c>
      <c r="K218" s="23">
        <f t="shared" si="6"/>
        <v>46588</v>
      </c>
      <c r="L218" s="21" t="s">
        <v>747</v>
      </c>
      <c r="M218" s="30">
        <v>8630632634</v>
      </c>
      <c r="N218" s="31" t="s">
        <v>748</v>
      </c>
      <c r="O218" s="16"/>
      <c r="P218" s="19" t="s">
        <v>749</v>
      </c>
      <c r="Q218" s="24">
        <v>46219</v>
      </c>
    </row>
    <row r="219" spans="1:17" ht="18.75" customHeight="1" x14ac:dyDescent="0.25">
      <c r="A219" s="16">
        <f t="shared" ca="1" si="7"/>
        <v>-272</v>
      </c>
      <c r="B219" s="71" t="b">
        <v>1</v>
      </c>
      <c r="C219" s="21" t="s">
        <v>757</v>
      </c>
      <c r="D219" s="59">
        <v>26</v>
      </c>
      <c r="E219" s="26">
        <v>45408</v>
      </c>
      <c r="F219" s="27" t="s">
        <v>15</v>
      </c>
      <c r="G219" s="27" t="s">
        <v>296</v>
      </c>
      <c r="H219" s="29">
        <v>46223</v>
      </c>
      <c r="I219" s="21" t="s">
        <v>828</v>
      </c>
      <c r="J219" s="21" t="s">
        <v>278</v>
      </c>
      <c r="K219" s="23">
        <f t="shared" si="6"/>
        <v>46588</v>
      </c>
      <c r="L219" s="21" t="s">
        <v>292</v>
      </c>
      <c r="M219" s="30">
        <v>9885187006</v>
      </c>
      <c r="N219" s="19" t="s">
        <v>758</v>
      </c>
      <c r="O219" s="16"/>
      <c r="P219" s="19" t="s">
        <v>759</v>
      </c>
      <c r="Q219" s="24">
        <v>46219</v>
      </c>
    </row>
    <row r="220" spans="1:17" ht="18.75" customHeight="1" x14ac:dyDescent="0.25">
      <c r="A220" s="16">
        <f t="shared" ca="1" si="7"/>
        <v>-272</v>
      </c>
      <c r="B220" s="71" t="b">
        <v>1</v>
      </c>
      <c r="C220" s="21" t="s">
        <v>743</v>
      </c>
      <c r="D220" s="58">
        <v>142.62</v>
      </c>
      <c r="E220" s="16"/>
      <c r="F220" s="21" t="s">
        <v>13</v>
      </c>
      <c r="G220" s="21" t="s">
        <v>294</v>
      </c>
      <c r="H220" s="29">
        <v>46223</v>
      </c>
      <c r="I220" s="27" t="s">
        <v>821</v>
      </c>
      <c r="J220" s="21" t="s">
        <v>278</v>
      </c>
      <c r="K220" s="23">
        <f t="shared" si="6"/>
        <v>46588</v>
      </c>
      <c r="L220" s="21"/>
      <c r="M220" s="30"/>
      <c r="N220" s="19" t="s">
        <v>744</v>
      </c>
      <c r="O220" s="16"/>
      <c r="P220" s="19" t="s">
        <v>745</v>
      </c>
      <c r="Q220" s="24">
        <v>46219</v>
      </c>
    </row>
    <row r="221" spans="1:17" ht="18.75" customHeight="1" x14ac:dyDescent="0.25">
      <c r="A221" s="16">
        <f t="shared" ca="1" si="7"/>
        <v>-281</v>
      </c>
      <c r="B221" s="71" t="b">
        <v>1</v>
      </c>
      <c r="C221" s="21" t="s">
        <v>763</v>
      </c>
      <c r="D221" s="58">
        <v>138.30000000000001</v>
      </c>
      <c r="E221" s="16">
        <v>45842</v>
      </c>
      <c r="F221" s="21" t="s">
        <v>34</v>
      </c>
      <c r="G221" s="21" t="s">
        <v>298</v>
      </c>
      <c r="H221" s="22">
        <v>46232</v>
      </c>
      <c r="I221" s="21" t="s">
        <v>274</v>
      </c>
      <c r="J221" s="21" t="s">
        <v>274</v>
      </c>
      <c r="K221" s="23">
        <f t="shared" si="6"/>
        <v>46597</v>
      </c>
      <c r="L221" s="21" t="s">
        <v>764</v>
      </c>
      <c r="M221" s="30">
        <v>8928551814</v>
      </c>
      <c r="N221" s="19" t="s">
        <v>765</v>
      </c>
      <c r="O221" s="16"/>
      <c r="P221" s="19" t="s">
        <v>283</v>
      </c>
      <c r="Q221" s="24">
        <v>46231</v>
      </c>
    </row>
    <row r="222" spans="1:17" ht="18.75" customHeight="1" x14ac:dyDescent="0.25">
      <c r="A222" s="16">
        <f t="shared" ca="1" si="7"/>
        <v>-286</v>
      </c>
      <c r="B222" s="71" t="b">
        <v>1</v>
      </c>
      <c r="C222" s="21" t="s">
        <v>766</v>
      </c>
      <c r="D222" s="58">
        <v>4500</v>
      </c>
      <c r="E222" s="16"/>
      <c r="F222" s="21" t="s">
        <v>181</v>
      </c>
      <c r="G222" s="21" t="s">
        <v>273</v>
      </c>
      <c r="H222" s="29">
        <v>46237</v>
      </c>
      <c r="I222" s="27" t="s">
        <v>820</v>
      </c>
      <c r="J222" s="21"/>
      <c r="K222" s="23">
        <f t="shared" si="6"/>
        <v>46602</v>
      </c>
      <c r="L222" s="21" t="s">
        <v>767</v>
      </c>
      <c r="M222" s="30">
        <v>7893538899</v>
      </c>
      <c r="N222" s="19" t="s">
        <v>768</v>
      </c>
      <c r="O222" s="16"/>
      <c r="P222" s="19" t="s">
        <v>769</v>
      </c>
      <c r="Q222" s="24">
        <v>46233</v>
      </c>
    </row>
    <row r="223" spans="1:17" ht="18.75" customHeight="1" x14ac:dyDescent="0.25">
      <c r="A223" s="16">
        <f t="shared" ca="1" si="7"/>
        <v>-288</v>
      </c>
      <c r="B223" s="71" t="b">
        <v>1</v>
      </c>
      <c r="C223" s="21" t="s">
        <v>784</v>
      </c>
      <c r="D223" s="58">
        <v>28.2</v>
      </c>
      <c r="E223" s="16"/>
      <c r="F223" s="21" t="s">
        <v>141</v>
      </c>
      <c r="G223" s="21" t="s">
        <v>269</v>
      </c>
      <c r="H223" s="22">
        <v>46239</v>
      </c>
      <c r="I223" s="21" t="s">
        <v>826</v>
      </c>
      <c r="J223" s="21"/>
      <c r="K223" s="23">
        <f t="shared" si="6"/>
        <v>46604</v>
      </c>
      <c r="L223" s="21" t="s">
        <v>785</v>
      </c>
      <c r="M223" s="30">
        <v>9923201070</v>
      </c>
      <c r="N223" s="31" t="s">
        <v>786</v>
      </c>
      <c r="O223" s="16"/>
      <c r="P223" s="19" t="s">
        <v>769</v>
      </c>
      <c r="Q223" s="24">
        <v>46234</v>
      </c>
    </row>
    <row r="224" spans="1:17" ht="18.75" customHeight="1" x14ac:dyDescent="0.25">
      <c r="A224" s="16">
        <f t="shared" ca="1" si="7"/>
        <v>-288</v>
      </c>
      <c r="B224" s="71" t="b">
        <v>1</v>
      </c>
      <c r="C224" s="21" t="s">
        <v>778</v>
      </c>
      <c r="D224" s="59">
        <v>9</v>
      </c>
      <c r="E224" s="26">
        <v>45440</v>
      </c>
      <c r="F224" s="27" t="s">
        <v>15</v>
      </c>
      <c r="G224" s="27" t="s">
        <v>296</v>
      </c>
      <c r="H224" s="29">
        <v>46239</v>
      </c>
      <c r="I224" s="21" t="s">
        <v>821</v>
      </c>
      <c r="J224" s="21" t="s">
        <v>278</v>
      </c>
      <c r="K224" s="23">
        <f t="shared" si="6"/>
        <v>46604</v>
      </c>
      <c r="L224" s="33" t="s">
        <v>275</v>
      </c>
      <c r="M224" s="32">
        <v>8088252546</v>
      </c>
      <c r="N224" s="34" t="s">
        <v>779</v>
      </c>
      <c r="O224" s="16"/>
      <c r="P224" s="19" t="s">
        <v>728</v>
      </c>
      <c r="Q224" s="24">
        <v>46234</v>
      </c>
    </row>
    <row r="225" spans="1:17" ht="18.75" customHeight="1" x14ac:dyDescent="0.25">
      <c r="A225" s="16">
        <f t="shared" ca="1" si="7"/>
        <v>-288</v>
      </c>
      <c r="B225" s="71" t="b">
        <v>1</v>
      </c>
      <c r="C225" s="21" t="s">
        <v>787</v>
      </c>
      <c r="D225" s="35">
        <v>63.17</v>
      </c>
      <c r="E225" s="36">
        <v>45022</v>
      </c>
      <c r="F225" s="37" t="s">
        <v>19</v>
      </c>
      <c r="G225" s="21" t="s">
        <v>298</v>
      </c>
      <c r="H225" s="22">
        <v>46239</v>
      </c>
      <c r="I225" s="21" t="s">
        <v>826</v>
      </c>
      <c r="J225" s="21" t="s">
        <v>278</v>
      </c>
      <c r="K225" s="23">
        <f t="shared" si="6"/>
        <v>46604</v>
      </c>
      <c r="L225" s="37" t="s">
        <v>788</v>
      </c>
      <c r="M225" s="79">
        <v>9867664948</v>
      </c>
      <c r="N225" s="38" t="s">
        <v>789</v>
      </c>
      <c r="O225" s="16"/>
      <c r="P225" s="19" t="s">
        <v>718</v>
      </c>
      <c r="Q225" s="24">
        <v>46234</v>
      </c>
    </row>
    <row r="226" spans="1:17" ht="18.75" customHeight="1" x14ac:dyDescent="0.25">
      <c r="A226" s="16">
        <f t="shared" ca="1" si="7"/>
        <v>-288</v>
      </c>
      <c r="B226" s="71" t="b">
        <v>1</v>
      </c>
      <c r="C226" s="21" t="s">
        <v>780</v>
      </c>
      <c r="D226" s="59">
        <v>25</v>
      </c>
      <c r="E226" s="26" t="s">
        <v>781</v>
      </c>
      <c r="F226" s="27" t="s">
        <v>6</v>
      </c>
      <c r="G226" s="28" t="s">
        <v>273</v>
      </c>
      <c r="H226" s="29">
        <v>46239</v>
      </c>
      <c r="I226" s="21" t="s">
        <v>825</v>
      </c>
      <c r="J226" s="21" t="s">
        <v>278</v>
      </c>
      <c r="K226" s="23">
        <f t="shared" si="6"/>
        <v>46604</v>
      </c>
      <c r="L226" s="33" t="s">
        <v>287</v>
      </c>
      <c r="M226" s="32" t="s">
        <v>287</v>
      </c>
      <c r="N226" s="34" t="s">
        <v>782</v>
      </c>
      <c r="O226" s="16"/>
      <c r="P226" s="19" t="s">
        <v>783</v>
      </c>
      <c r="Q226" s="24">
        <v>46234</v>
      </c>
    </row>
    <row r="227" spans="1:17" ht="18.75" customHeight="1" x14ac:dyDescent="0.25">
      <c r="A227" s="16">
        <f t="shared" ca="1" si="7"/>
        <v>-288</v>
      </c>
      <c r="B227" s="71" t="b">
        <v>1</v>
      </c>
      <c r="C227" s="21" t="s">
        <v>790</v>
      </c>
      <c r="D227" s="59">
        <v>49.45</v>
      </c>
      <c r="E227" s="26">
        <v>45440</v>
      </c>
      <c r="F227" s="27" t="s">
        <v>15</v>
      </c>
      <c r="G227" s="27" t="s">
        <v>296</v>
      </c>
      <c r="H227" s="29">
        <v>46239</v>
      </c>
      <c r="I227" s="21" t="s">
        <v>821</v>
      </c>
      <c r="J227" s="21" t="s">
        <v>278</v>
      </c>
      <c r="K227" s="23">
        <f t="shared" si="6"/>
        <v>46604</v>
      </c>
      <c r="L227" s="33" t="s">
        <v>443</v>
      </c>
      <c r="M227" s="32">
        <v>9537936809</v>
      </c>
      <c r="N227" s="19" t="s">
        <v>791</v>
      </c>
      <c r="O227" s="16"/>
      <c r="P227" s="19" t="s">
        <v>668</v>
      </c>
      <c r="Q227" s="24">
        <v>46234</v>
      </c>
    </row>
    <row r="228" spans="1:17" ht="18.75" customHeight="1" x14ac:dyDescent="0.25">
      <c r="A228" s="16">
        <f t="shared" ca="1" si="7"/>
        <v>-288</v>
      </c>
      <c r="B228" s="71" t="b">
        <v>1</v>
      </c>
      <c r="C228" s="49" t="s">
        <v>798</v>
      </c>
      <c r="D228" s="58">
        <v>60</v>
      </c>
      <c r="E228" s="16"/>
      <c r="F228" s="21" t="s">
        <v>181</v>
      </c>
      <c r="G228" s="21" t="s">
        <v>273</v>
      </c>
      <c r="H228" s="29">
        <v>46239</v>
      </c>
      <c r="I228" s="21" t="s">
        <v>274</v>
      </c>
      <c r="J228" s="21" t="s">
        <v>274</v>
      </c>
      <c r="K228" s="23">
        <f t="shared" si="6"/>
        <v>46604</v>
      </c>
      <c r="L228" s="21" t="s">
        <v>799</v>
      </c>
      <c r="M228" s="30">
        <v>9324943984</v>
      </c>
      <c r="N228" s="19" t="s">
        <v>800</v>
      </c>
      <c r="O228" s="16"/>
      <c r="P228" s="19" t="s">
        <v>801</v>
      </c>
      <c r="Q228" s="24">
        <v>46234</v>
      </c>
    </row>
    <row r="229" spans="1:17" ht="18.75" customHeight="1" x14ac:dyDescent="0.25">
      <c r="A229" s="16">
        <f t="shared" ca="1" si="7"/>
        <v>-288</v>
      </c>
      <c r="B229" s="71" t="b">
        <v>1</v>
      </c>
      <c r="C229" s="21" t="s">
        <v>770</v>
      </c>
      <c r="D229" s="59">
        <v>36</v>
      </c>
      <c r="E229" s="26">
        <v>45015</v>
      </c>
      <c r="F229" s="27" t="s">
        <v>15</v>
      </c>
      <c r="G229" s="27" t="s">
        <v>296</v>
      </c>
      <c r="H229" s="29">
        <v>46239</v>
      </c>
      <c r="I229" s="21" t="s">
        <v>825</v>
      </c>
      <c r="J229" s="21"/>
      <c r="K229" s="23">
        <f t="shared" si="6"/>
        <v>46604</v>
      </c>
      <c r="L229" s="21" t="s">
        <v>771</v>
      </c>
      <c r="M229" s="30" t="s">
        <v>772</v>
      </c>
      <c r="N229" s="19" t="s">
        <v>773</v>
      </c>
      <c r="O229" s="16"/>
      <c r="P229" s="19" t="s">
        <v>774</v>
      </c>
      <c r="Q229" s="24">
        <v>46234</v>
      </c>
    </row>
    <row r="230" spans="1:17" ht="18.75" customHeight="1" x14ac:dyDescent="0.25">
      <c r="A230" s="16">
        <f t="shared" ca="1" si="7"/>
        <v>-288</v>
      </c>
      <c r="B230" s="71" t="b">
        <v>1</v>
      </c>
      <c r="C230" s="21" t="s">
        <v>792</v>
      </c>
      <c r="D230" s="59">
        <v>37.25</v>
      </c>
      <c r="E230" s="26" t="s">
        <v>793</v>
      </c>
      <c r="F230" s="27" t="s">
        <v>6</v>
      </c>
      <c r="G230" s="28" t="s">
        <v>273</v>
      </c>
      <c r="H230" s="29">
        <v>46239</v>
      </c>
      <c r="I230" s="27" t="s">
        <v>274</v>
      </c>
      <c r="J230" s="27" t="s">
        <v>274</v>
      </c>
      <c r="K230" s="23">
        <f t="shared" si="6"/>
        <v>46604</v>
      </c>
      <c r="L230" s="21" t="s">
        <v>443</v>
      </c>
      <c r="M230" s="30">
        <v>9537936809</v>
      </c>
      <c r="N230" s="19" t="s">
        <v>794</v>
      </c>
      <c r="O230" s="16"/>
      <c r="P230" s="19" t="s">
        <v>704</v>
      </c>
      <c r="Q230" s="24">
        <v>46234</v>
      </c>
    </row>
    <row r="231" spans="1:17" ht="18.75" customHeight="1" x14ac:dyDescent="0.25">
      <c r="A231" s="16">
        <f t="shared" ca="1" si="7"/>
        <v>-288</v>
      </c>
      <c r="B231" s="71" t="b">
        <v>1</v>
      </c>
      <c r="C231" s="21" t="s">
        <v>795</v>
      </c>
      <c r="D231" s="58">
        <v>44.62</v>
      </c>
      <c r="E231" s="16"/>
      <c r="F231" s="21" t="s">
        <v>13</v>
      </c>
      <c r="G231" s="21" t="s">
        <v>294</v>
      </c>
      <c r="H231" s="29">
        <v>46239</v>
      </c>
      <c r="I231" s="21" t="s">
        <v>825</v>
      </c>
      <c r="J231" s="21"/>
      <c r="K231" s="23">
        <f t="shared" si="6"/>
        <v>46604</v>
      </c>
      <c r="L231" s="21"/>
      <c r="M231" s="30"/>
      <c r="N231" s="31" t="s">
        <v>796</v>
      </c>
      <c r="O231" s="16"/>
      <c r="P231" s="19" t="s">
        <v>797</v>
      </c>
      <c r="Q231" s="24">
        <v>46234</v>
      </c>
    </row>
    <row r="232" spans="1:17" ht="18.75" customHeight="1" x14ac:dyDescent="0.25">
      <c r="A232" s="16">
        <f t="shared" ca="1" si="7"/>
        <v>-288</v>
      </c>
      <c r="B232" s="71" t="b">
        <v>1</v>
      </c>
      <c r="C232" s="21" t="s">
        <v>775</v>
      </c>
      <c r="D232" s="35">
        <v>55.68</v>
      </c>
      <c r="E232" s="36">
        <v>45439</v>
      </c>
      <c r="F232" s="37" t="s">
        <v>19</v>
      </c>
      <c r="G232" s="21" t="s">
        <v>298</v>
      </c>
      <c r="H232" s="29">
        <v>46239</v>
      </c>
      <c r="I232" s="38" t="s">
        <v>274</v>
      </c>
      <c r="J232" s="27" t="s">
        <v>274</v>
      </c>
      <c r="K232" s="23">
        <f t="shared" si="6"/>
        <v>46604</v>
      </c>
      <c r="L232" s="37" t="s">
        <v>776</v>
      </c>
      <c r="M232" s="79">
        <v>9000951563</v>
      </c>
      <c r="N232" s="38" t="s">
        <v>777</v>
      </c>
      <c r="O232" s="16"/>
      <c r="P232" s="19" t="s">
        <v>675</v>
      </c>
      <c r="Q232" s="24">
        <v>46234</v>
      </c>
    </row>
    <row r="233" spans="1:17" ht="18.75" customHeight="1" x14ac:dyDescent="0.25">
      <c r="A233" s="16">
        <f t="shared" ca="1" si="7"/>
        <v>-289</v>
      </c>
      <c r="B233" s="71" t="b">
        <v>1</v>
      </c>
      <c r="C233" s="49" t="s">
        <v>802</v>
      </c>
      <c r="D233" s="59">
        <v>547.47</v>
      </c>
      <c r="E233" s="26"/>
      <c r="F233" s="27" t="s">
        <v>27</v>
      </c>
      <c r="G233" s="28" t="s">
        <v>273</v>
      </c>
      <c r="H233" s="29">
        <v>46240</v>
      </c>
      <c r="I233" s="21" t="s">
        <v>274</v>
      </c>
      <c r="J233" s="21" t="s">
        <v>274</v>
      </c>
      <c r="K233" s="23">
        <f t="shared" si="6"/>
        <v>46605</v>
      </c>
      <c r="L233" s="33" t="s">
        <v>415</v>
      </c>
      <c r="M233" s="32">
        <v>9582704847</v>
      </c>
      <c r="N233" s="34" t="s">
        <v>803</v>
      </c>
      <c r="O233" s="16"/>
      <c r="P233" s="19"/>
      <c r="Q233" s="24"/>
    </row>
    <row r="234" spans="1:17" ht="18.75" customHeight="1" x14ac:dyDescent="0.25">
      <c r="A234" s="16">
        <f t="shared" ca="1" si="7"/>
        <v>-290</v>
      </c>
      <c r="B234" s="71" t="b">
        <v>1</v>
      </c>
      <c r="C234" s="49" t="s">
        <v>804</v>
      </c>
      <c r="D234" s="40">
        <v>50</v>
      </c>
      <c r="E234" s="50">
        <v>45582</v>
      </c>
      <c r="F234" s="51" t="s">
        <v>86</v>
      </c>
      <c r="G234" s="21" t="s">
        <v>273</v>
      </c>
      <c r="H234" s="29">
        <v>46241</v>
      </c>
      <c r="I234" s="27" t="s">
        <v>274</v>
      </c>
      <c r="J234" s="21"/>
      <c r="K234" s="23">
        <f t="shared" si="6"/>
        <v>46606</v>
      </c>
      <c r="L234" s="21"/>
      <c r="M234" s="30"/>
      <c r="N234" s="31" t="s">
        <v>805</v>
      </c>
      <c r="O234" s="16"/>
      <c r="P234" s="19" t="s">
        <v>806</v>
      </c>
      <c r="Q234" s="24">
        <v>46239</v>
      </c>
    </row>
    <row r="235" spans="1:17" ht="18.75" customHeight="1" x14ac:dyDescent="0.25">
      <c r="A235" s="16">
        <f t="shared" ca="1" si="7"/>
        <v>-303</v>
      </c>
      <c r="B235" s="71" t="b">
        <v>1</v>
      </c>
      <c r="C235" s="21" t="s">
        <v>255</v>
      </c>
      <c r="D235" s="58">
        <v>100</v>
      </c>
      <c r="E235" s="16"/>
      <c r="F235" s="21" t="s">
        <v>181</v>
      </c>
      <c r="G235" s="21" t="s">
        <v>273</v>
      </c>
      <c r="H235" s="29">
        <v>46254</v>
      </c>
      <c r="I235" s="21" t="s">
        <v>829</v>
      </c>
      <c r="J235" s="21"/>
      <c r="K235" s="23">
        <f t="shared" si="6"/>
        <v>46619</v>
      </c>
      <c r="L235" s="21" t="s">
        <v>537</v>
      </c>
      <c r="M235" s="30">
        <v>8086928283</v>
      </c>
      <c r="N235" s="19" t="s">
        <v>538</v>
      </c>
      <c r="O235" s="16"/>
      <c r="P235" s="19" t="s">
        <v>841</v>
      </c>
      <c r="Q235" s="24">
        <v>46254</v>
      </c>
    </row>
    <row r="236" spans="1:17" ht="18.75" customHeight="1" x14ac:dyDescent="0.25">
      <c r="A236" s="16">
        <f t="shared" ca="1" si="7"/>
        <v>-303</v>
      </c>
      <c r="B236" s="71" t="b">
        <v>1</v>
      </c>
      <c r="C236" s="21" t="s">
        <v>130</v>
      </c>
      <c r="D236" s="59">
        <v>44.29</v>
      </c>
      <c r="E236" s="26">
        <v>45881</v>
      </c>
      <c r="F236" s="27" t="s">
        <v>6</v>
      </c>
      <c r="G236" s="28" t="s">
        <v>273</v>
      </c>
      <c r="H236" s="29">
        <v>46254</v>
      </c>
      <c r="I236" s="27" t="s">
        <v>821</v>
      </c>
      <c r="J236" s="27" t="s">
        <v>278</v>
      </c>
      <c r="K236" s="23">
        <f t="shared" si="6"/>
        <v>46619</v>
      </c>
      <c r="L236" s="21" t="s">
        <v>463</v>
      </c>
      <c r="M236" s="30">
        <v>9921545111</v>
      </c>
      <c r="N236" s="31" t="s">
        <v>468</v>
      </c>
      <c r="O236" s="16"/>
      <c r="P236" s="19" t="s">
        <v>718</v>
      </c>
      <c r="Q236" s="24">
        <v>46254</v>
      </c>
    </row>
    <row r="237" spans="1:17" ht="18.75" customHeight="1" x14ac:dyDescent="0.25">
      <c r="A237" s="16">
        <f t="shared" ca="1" si="7"/>
        <v>-307</v>
      </c>
      <c r="B237" s="71" t="b">
        <v>1</v>
      </c>
      <c r="C237" s="21" t="s">
        <v>5</v>
      </c>
      <c r="D237" s="59">
        <v>1694</v>
      </c>
      <c r="E237" s="26">
        <v>44597</v>
      </c>
      <c r="F237" s="27" t="s">
        <v>6</v>
      </c>
      <c r="G237" s="28" t="s">
        <v>273</v>
      </c>
      <c r="H237" s="29">
        <v>46258</v>
      </c>
      <c r="I237" s="21" t="s">
        <v>274</v>
      </c>
      <c r="J237" s="21" t="s">
        <v>274</v>
      </c>
      <c r="K237" s="23">
        <f t="shared" si="6"/>
        <v>46623</v>
      </c>
      <c r="L237" s="21" t="s">
        <v>275</v>
      </c>
      <c r="M237" s="30">
        <v>8088252546</v>
      </c>
      <c r="N237" s="31" t="s">
        <v>276</v>
      </c>
      <c r="O237" s="16"/>
      <c r="P237" s="19" t="s">
        <v>675</v>
      </c>
      <c r="Q237" s="24">
        <v>46252</v>
      </c>
    </row>
    <row r="238" spans="1:17" ht="18.75" customHeight="1" x14ac:dyDescent="0.25">
      <c r="A238" s="16">
        <f t="shared" ca="1" si="7"/>
        <v>-307</v>
      </c>
      <c r="B238" s="71" t="b">
        <v>1</v>
      </c>
      <c r="C238" s="21" t="s">
        <v>18</v>
      </c>
      <c r="D238" s="35">
        <v>95</v>
      </c>
      <c r="E238" s="36">
        <v>45876</v>
      </c>
      <c r="F238" s="37" t="s">
        <v>19</v>
      </c>
      <c r="G238" s="21" t="s">
        <v>298</v>
      </c>
      <c r="H238" s="29">
        <v>46258</v>
      </c>
      <c r="I238" s="21" t="s">
        <v>825</v>
      </c>
      <c r="J238" s="21" t="s">
        <v>278</v>
      </c>
      <c r="K238" s="23">
        <f t="shared" si="6"/>
        <v>46623</v>
      </c>
      <c r="L238" s="37" t="s">
        <v>299</v>
      </c>
      <c r="M238" s="79">
        <v>9964838949</v>
      </c>
      <c r="N238" s="38" t="s">
        <v>300</v>
      </c>
      <c r="O238" s="16"/>
      <c r="P238" s="19" t="s">
        <v>728</v>
      </c>
      <c r="Q238" s="24">
        <v>46253</v>
      </c>
    </row>
    <row r="239" spans="1:17" ht="18.75" customHeight="1" x14ac:dyDescent="0.25">
      <c r="A239" s="16">
        <f t="shared" ca="1" si="7"/>
        <v>-307</v>
      </c>
      <c r="B239" s="71" t="b">
        <v>1</v>
      </c>
      <c r="C239" s="21" t="s">
        <v>8</v>
      </c>
      <c r="D239" s="59" t="s">
        <v>282</v>
      </c>
      <c r="E239" s="26">
        <v>44565</v>
      </c>
      <c r="F239" s="27" t="s">
        <v>6</v>
      </c>
      <c r="G239" s="28" t="s">
        <v>273</v>
      </c>
      <c r="H239" s="29">
        <v>46258</v>
      </c>
      <c r="I239" s="21" t="s">
        <v>827</v>
      </c>
      <c r="J239" s="21"/>
      <c r="K239" s="23">
        <f t="shared" si="6"/>
        <v>46623</v>
      </c>
      <c r="L239" s="21" t="s">
        <v>284</v>
      </c>
      <c r="M239" s="32" t="s">
        <v>285</v>
      </c>
      <c r="N239" s="31" t="s">
        <v>286</v>
      </c>
      <c r="O239" s="16"/>
      <c r="P239" s="19" t="s">
        <v>675</v>
      </c>
      <c r="Q239" s="24">
        <v>46253</v>
      </c>
    </row>
    <row r="240" spans="1:17" ht="18.75" customHeight="1" x14ac:dyDescent="0.25">
      <c r="A240" s="16">
        <f t="shared" ca="1" si="7"/>
        <v>-307</v>
      </c>
      <c r="B240" s="71" t="b">
        <v>1</v>
      </c>
      <c r="C240" s="21" t="s">
        <v>10</v>
      </c>
      <c r="D240" s="59">
        <v>219.38</v>
      </c>
      <c r="E240" s="26" t="s">
        <v>289</v>
      </c>
      <c r="F240" s="27" t="s">
        <v>6</v>
      </c>
      <c r="G240" s="28" t="s">
        <v>273</v>
      </c>
      <c r="H240" s="29">
        <v>46258</v>
      </c>
      <c r="I240" s="21" t="s">
        <v>825</v>
      </c>
      <c r="J240" s="21" t="s">
        <v>278</v>
      </c>
      <c r="K240" s="23">
        <f t="shared" si="6"/>
        <v>46623</v>
      </c>
      <c r="L240" s="33" t="s">
        <v>290</v>
      </c>
      <c r="M240" s="32">
        <v>9830353213</v>
      </c>
      <c r="N240" s="34" t="s">
        <v>291</v>
      </c>
      <c r="O240" s="16"/>
      <c r="P240" s="19" t="s">
        <v>843</v>
      </c>
      <c r="Q240" s="24">
        <v>46252</v>
      </c>
    </row>
    <row r="241" spans="1:17" ht="18.75" customHeight="1" x14ac:dyDescent="0.25">
      <c r="A241" s="16">
        <f t="shared" ca="1" si="7"/>
        <v>-307</v>
      </c>
      <c r="B241" s="71" t="b">
        <v>1</v>
      </c>
      <c r="C241" s="21" t="s">
        <v>12</v>
      </c>
      <c r="D241" s="58">
        <v>40</v>
      </c>
      <c r="E241" s="16"/>
      <c r="F241" s="21" t="s">
        <v>13</v>
      </c>
      <c r="G241" s="21" t="s">
        <v>294</v>
      </c>
      <c r="H241" s="29">
        <v>46258</v>
      </c>
      <c r="I241" s="21" t="s">
        <v>827</v>
      </c>
      <c r="J241" s="21" t="s">
        <v>278</v>
      </c>
      <c r="K241" s="23">
        <f t="shared" si="6"/>
        <v>46623</v>
      </c>
      <c r="L241" s="21"/>
      <c r="M241" s="30"/>
      <c r="N241" s="19" t="s">
        <v>295</v>
      </c>
      <c r="O241" s="16"/>
      <c r="P241" s="19" t="s">
        <v>718</v>
      </c>
      <c r="Q241" s="24">
        <v>46252</v>
      </c>
    </row>
    <row r="242" spans="1:17" ht="18.75" customHeight="1" x14ac:dyDescent="0.25">
      <c r="A242" s="16">
        <f t="shared" ca="1" si="7"/>
        <v>-307</v>
      </c>
      <c r="B242" s="71" t="b">
        <v>1</v>
      </c>
      <c r="C242" s="21" t="s">
        <v>11</v>
      </c>
      <c r="D242" s="59">
        <v>61</v>
      </c>
      <c r="E242" s="26">
        <v>45496</v>
      </c>
      <c r="F242" s="27" t="s">
        <v>6</v>
      </c>
      <c r="G242" s="28" t="s">
        <v>273</v>
      </c>
      <c r="H242" s="29">
        <v>46258</v>
      </c>
      <c r="I242" s="21" t="s">
        <v>825</v>
      </c>
      <c r="J242" s="21"/>
      <c r="K242" s="23">
        <f t="shared" si="6"/>
        <v>46623</v>
      </c>
      <c r="L242" s="21" t="s">
        <v>292</v>
      </c>
      <c r="M242" s="30">
        <v>9885187006</v>
      </c>
      <c r="N242" s="31" t="s">
        <v>293</v>
      </c>
      <c r="O242" s="16"/>
      <c r="P242" s="19" t="s">
        <v>675</v>
      </c>
      <c r="Q242" s="24">
        <v>46252</v>
      </c>
    </row>
    <row r="243" spans="1:17" ht="18.75" customHeight="1" x14ac:dyDescent="0.25">
      <c r="A243" s="16">
        <f t="shared" ca="1" si="7"/>
        <v>-307</v>
      </c>
      <c r="B243" s="71" t="b">
        <v>1</v>
      </c>
      <c r="C243" s="21" t="s">
        <v>9</v>
      </c>
      <c r="D243" s="59">
        <v>225</v>
      </c>
      <c r="E243" s="26">
        <v>45369</v>
      </c>
      <c r="F243" s="27" t="s">
        <v>6</v>
      </c>
      <c r="G243" s="28" t="s">
        <v>273</v>
      </c>
      <c r="H243" s="29">
        <v>46258</v>
      </c>
      <c r="I243" s="21" t="s">
        <v>825</v>
      </c>
      <c r="J243" s="21" t="s">
        <v>278</v>
      </c>
      <c r="K243" s="23">
        <f t="shared" si="6"/>
        <v>46623</v>
      </c>
      <c r="L243" s="33" t="s">
        <v>287</v>
      </c>
      <c r="M243" s="32" t="s">
        <v>287</v>
      </c>
      <c r="N243" s="34" t="s">
        <v>288</v>
      </c>
      <c r="O243" s="16"/>
      <c r="P243" s="19" t="s">
        <v>843</v>
      </c>
      <c r="Q243" s="24">
        <v>46252</v>
      </c>
    </row>
    <row r="244" spans="1:17" ht="18.75" customHeight="1" x14ac:dyDescent="0.25">
      <c r="A244" s="16" t="str">
        <f t="shared" si="7"/>
        <v/>
      </c>
      <c r="B244" s="71" t="b">
        <v>1</v>
      </c>
      <c r="C244" s="21" t="s">
        <v>216</v>
      </c>
      <c r="D244" s="61">
        <v>100</v>
      </c>
      <c r="E244" s="54">
        <v>46136</v>
      </c>
      <c r="F244" s="33" t="s">
        <v>217</v>
      </c>
      <c r="G244" s="33" t="s">
        <v>273</v>
      </c>
      <c r="H244" s="29">
        <v>46258</v>
      </c>
      <c r="I244" s="21" t="s">
        <v>814</v>
      </c>
      <c r="J244" s="21" t="s">
        <v>814</v>
      </c>
      <c r="K244" s="23">
        <f t="shared" si="6"/>
        <v>46623</v>
      </c>
      <c r="L244" s="21"/>
      <c r="M244" s="30"/>
      <c r="N244" s="19" t="s">
        <v>809</v>
      </c>
      <c r="O244" s="16"/>
      <c r="P244" s="19" t="s">
        <v>728</v>
      </c>
      <c r="Q244" s="24">
        <v>46252</v>
      </c>
    </row>
    <row r="245" spans="1:17" ht="18.75" customHeight="1" x14ac:dyDescent="0.25">
      <c r="A245" s="16">
        <f t="shared" ca="1" si="7"/>
        <v>-307</v>
      </c>
      <c r="B245" s="71" t="b">
        <v>1</v>
      </c>
      <c r="C245" s="21" t="s">
        <v>14</v>
      </c>
      <c r="D245" s="59">
        <v>25.83</v>
      </c>
      <c r="E245" s="26">
        <v>45448</v>
      </c>
      <c r="F245" s="27" t="s">
        <v>15</v>
      </c>
      <c r="G245" s="27" t="s">
        <v>296</v>
      </c>
      <c r="H245" s="29">
        <v>46258</v>
      </c>
      <c r="I245" s="21" t="s">
        <v>827</v>
      </c>
      <c r="J245" s="21" t="s">
        <v>278</v>
      </c>
      <c r="K245" s="23">
        <f t="shared" si="6"/>
        <v>46623</v>
      </c>
      <c r="L245" s="21" t="s">
        <v>279</v>
      </c>
      <c r="M245" s="32">
        <v>9689747079</v>
      </c>
      <c r="N245" s="31" t="s">
        <v>297</v>
      </c>
      <c r="O245" s="16"/>
      <c r="P245" s="19" t="s">
        <v>675</v>
      </c>
      <c r="Q245" s="24">
        <v>46252</v>
      </c>
    </row>
    <row r="246" spans="1:17" ht="18.75" customHeight="1" x14ac:dyDescent="0.25">
      <c r="A246" s="16">
        <f t="shared" ca="1" si="7"/>
        <v>-307</v>
      </c>
      <c r="B246" s="71" t="b">
        <v>1</v>
      </c>
      <c r="C246" s="21" t="s">
        <v>7</v>
      </c>
      <c r="D246" s="59">
        <v>190</v>
      </c>
      <c r="E246" s="26">
        <v>45419</v>
      </c>
      <c r="F246" s="27" t="s">
        <v>6</v>
      </c>
      <c r="G246" s="28" t="s">
        <v>273</v>
      </c>
      <c r="H246" s="29">
        <v>46258</v>
      </c>
      <c r="I246" s="27" t="s">
        <v>825</v>
      </c>
      <c r="J246" s="27" t="s">
        <v>278</v>
      </c>
      <c r="K246" s="23">
        <f t="shared" si="6"/>
        <v>46623</v>
      </c>
      <c r="L246" s="21" t="s">
        <v>279</v>
      </c>
      <c r="M246" s="30">
        <v>9689747079</v>
      </c>
      <c r="N246" s="31" t="s">
        <v>280</v>
      </c>
      <c r="O246" s="16"/>
      <c r="P246" s="19" t="s">
        <v>842</v>
      </c>
      <c r="Q246" s="24">
        <v>46252</v>
      </c>
    </row>
    <row r="247" spans="1:17" ht="18.75" customHeight="1" x14ac:dyDescent="0.25">
      <c r="A247" s="16">
        <f t="shared" ca="1" si="7"/>
        <v>-321</v>
      </c>
      <c r="B247" s="71" t="b">
        <v>1</v>
      </c>
      <c r="C247" s="21" t="s">
        <v>28</v>
      </c>
      <c r="D247" s="40">
        <v>100</v>
      </c>
      <c r="E247" s="26">
        <v>44655</v>
      </c>
      <c r="F247" s="33" t="s">
        <v>29</v>
      </c>
      <c r="G247" s="28" t="s">
        <v>273</v>
      </c>
      <c r="H247" s="22">
        <v>46272</v>
      </c>
      <c r="I247" s="21" t="s">
        <v>274</v>
      </c>
      <c r="J247" s="21"/>
      <c r="K247" s="23">
        <f t="shared" si="6"/>
        <v>46637</v>
      </c>
      <c r="L247" s="21" t="s">
        <v>317</v>
      </c>
      <c r="M247" s="30">
        <v>9849015839</v>
      </c>
      <c r="N247" s="31" t="s">
        <v>318</v>
      </c>
      <c r="O247" s="16"/>
      <c r="P247" s="19" t="s">
        <v>675</v>
      </c>
      <c r="Q247" s="24">
        <v>46266</v>
      </c>
    </row>
    <row r="248" spans="1:17" ht="18.75" customHeight="1" x14ac:dyDescent="0.25">
      <c r="A248" s="16">
        <f t="shared" ca="1" si="7"/>
        <v>-321</v>
      </c>
      <c r="B248" s="71" t="b">
        <v>1</v>
      </c>
      <c r="C248" s="20" t="s">
        <v>26</v>
      </c>
      <c r="D248" s="59">
        <v>75</v>
      </c>
      <c r="E248" s="26" t="s">
        <v>314</v>
      </c>
      <c r="F248" s="27" t="s">
        <v>27</v>
      </c>
      <c r="G248" s="28" t="s">
        <v>273</v>
      </c>
      <c r="H248" s="22">
        <v>46272</v>
      </c>
      <c r="I248" s="21" t="s">
        <v>825</v>
      </c>
      <c r="J248" s="21"/>
      <c r="K248" s="23">
        <f t="shared" si="6"/>
        <v>46637</v>
      </c>
      <c r="L248" s="21" t="s">
        <v>315</v>
      </c>
      <c r="M248" s="30">
        <v>9822024345</v>
      </c>
      <c r="N248" s="31" t="s">
        <v>316</v>
      </c>
      <c r="O248" s="16"/>
      <c r="P248" s="19" t="s">
        <v>728</v>
      </c>
      <c r="Q248" s="24">
        <v>46266</v>
      </c>
    </row>
    <row r="249" spans="1:17" ht="18.75" customHeight="1" x14ac:dyDescent="0.25">
      <c r="A249" s="16">
        <f t="shared" ca="1" si="7"/>
        <v>-321</v>
      </c>
      <c r="B249" s="71" t="b">
        <v>1</v>
      </c>
      <c r="C249" s="21" t="s">
        <v>844</v>
      </c>
      <c r="D249" s="58">
        <v>189.37</v>
      </c>
      <c r="E249" s="16"/>
      <c r="F249" s="21" t="s">
        <v>20</v>
      </c>
      <c r="G249" s="21" t="s">
        <v>294</v>
      </c>
      <c r="H249" s="22">
        <v>46272</v>
      </c>
      <c r="I249" s="21" t="s">
        <v>826</v>
      </c>
      <c r="J249" s="21"/>
      <c r="K249" s="23">
        <f t="shared" si="6"/>
        <v>46637</v>
      </c>
      <c r="L249" s="21"/>
      <c r="M249" s="30"/>
      <c r="N249" s="31" t="s">
        <v>304</v>
      </c>
      <c r="O249" s="16"/>
      <c r="P249" s="19" t="s">
        <v>847</v>
      </c>
      <c r="Q249" s="24">
        <v>46266</v>
      </c>
    </row>
    <row r="250" spans="1:17" ht="18.75" customHeight="1" x14ac:dyDescent="0.25">
      <c r="A250" s="16">
        <f t="shared" ca="1" si="7"/>
        <v>-321</v>
      </c>
      <c r="B250" s="71" t="b">
        <v>1</v>
      </c>
      <c r="C250" s="21" t="s">
        <v>24</v>
      </c>
      <c r="D250" s="35">
        <v>4.97</v>
      </c>
      <c r="E250" s="36">
        <v>45114</v>
      </c>
      <c r="F250" s="37" t="s">
        <v>19</v>
      </c>
      <c r="G250" s="21" t="s">
        <v>298</v>
      </c>
      <c r="H250" s="22">
        <v>46272</v>
      </c>
      <c r="I250" s="21" t="s">
        <v>829</v>
      </c>
      <c r="J250" s="21"/>
      <c r="K250" s="23">
        <f t="shared" si="6"/>
        <v>46637</v>
      </c>
      <c r="L250" s="37" t="s">
        <v>310</v>
      </c>
      <c r="M250" s="79">
        <v>8780726168</v>
      </c>
      <c r="N250" s="39" t="s">
        <v>311</v>
      </c>
      <c r="O250" s="16"/>
      <c r="P250" s="19" t="s">
        <v>668</v>
      </c>
      <c r="Q250" s="24">
        <v>46266</v>
      </c>
    </row>
    <row r="251" spans="1:17" ht="18.75" customHeight="1" x14ac:dyDescent="0.25">
      <c r="A251" s="16">
        <f t="shared" ca="1" si="7"/>
        <v>-321</v>
      </c>
      <c r="B251" s="71" t="b">
        <v>1</v>
      </c>
      <c r="C251" s="21" t="s">
        <v>846</v>
      </c>
      <c r="D251" s="58">
        <v>5</v>
      </c>
      <c r="E251" s="16"/>
      <c r="F251" s="21" t="s">
        <v>20</v>
      </c>
      <c r="G251" s="21" t="s">
        <v>294</v>
      </c>
      <c r="H251" s="22">
        <v>46272</v>
      </c>
      <c r="I251" s="21" t="s">
        <v>828</v>
      </c>
      <c r="J251" s="21"/>
      <c r="K251" s="23">
        <f t="shared" si="6"/>
        <v>46637</v>
      </c>
      <c r="L251" s="21"/>
      <c r="M251" s="30"/>
      <c r="N251" s="31" t="s">
        <v>305</v>
      </c>
      <c r="O251" s="16"/>
      <c r="P251" s="19" t="s">
        <v>675</v>
      </c>
      <c r="Q251" s="24">
        <v>46266</v>
      </c>
    </row>
    <row r="252" spans="1:17" ht="18.75" customHeight="1" x14ac:dyDescent="0.25">
      <c r="A252" s="16">
        <f t="shared" ca="1" si="7"/>
        <v>-321</v>
      </c>
      <c r="B252" s="71" t="b">
        <v>1</v>
      </c>
      <c r="C252" s="20" t="s">
        <v>845</v>
      </c>
      <c r="D252" s="58">
        <v>440</v>
      </c>
      <c r="E252" s="16"/>
      <c r="F252" s="21" t="s">
        <v>4</v>
      </c>
      <c r="G252" s="21" t="s">
        <v>269</v>
      </c>
      <c r="H252" s="22">
        <v>46272</v>
      </c>
      <c r="I252" s="21" t="s">
        <v>825</v>
      </c>
      <c r="J252" s="21"/>
      <c r="K252" s="23">
        <f t="shared" si="6"/>
        <v>46637</v>
      </c>
      <c r="L252" s="21" t="s">
        <v>270</v>
      </c>
      <c r="M252" s="30">
        <v>9167655456</v>
      </c>
      <c r="N252" s="31" t="s">
        <v>271</v>
      </c>
      <c r="O252" s="16"/>
      <c r="P252" s="19" t="s">
        <v>806</v>
      </c>
      <c r="Q252" s="24">
        <v>46266</v>
      </c>
    </row>
    <row r="253" spans="1:17" ht="18.75" customHeight="1" x14ac:dyDescent="0.25">
      <c r="A253" s="16">
        <f t="shared" ca="1" si="7"/>
        <v>-321</v>
      </c>
      <c r="B253" s="71" t="b">
        <v>1</v>
      </c>
      <c r="C253" s="21" t="s">
        <v>25</v>
      </c>
      <c r="D253" s="35">
        <v>52.87</v>
      </c>
      <c r="E253" s="36">
        <v>45065</v>
      </c>
      <c r="F253" s="37" t="s">
        <v>19</v>
      </c>
      <c r="G253" s="21" t="s">
        <v>298</v>
      </c>
      <c r="H253" s="22">
        <v>46272</v>
      </c>
      <c r="I253" s="21" t="s">
        <v>826</v>
      </c>
      <c r="J253" s="21"/>
      <c r="K253" s="23">
        <f t="shared" si="6"/>
        <v>46637</v>
      </c>
      <c r="L253" s="37" t="s">
        <v>312</v>
      </c>
      <c r="M253" s="79">
        <v>7228847123</v>
      </c>
      <c r="N253" s="39" t="s">
        <v>313</v>
      </c>
      <c r="O253" s="16"/>
      <c r="P253" s="19" t="s">
        <v>704</v>
      </c>
      <c r="Q253" s="24">
        <v>46266</v>
      </c>
    </row>
    <row r="254" spans="1:17" ht="18.75" customHeight="1" x14ac:dyDescent="0.25">
      <c r="A254" s="16">
        <f t="shared" ca="1" si="7"/>
        <v>-321</v>
      </c>
      <c r="B254" s="71" t="b">
        <v>1</v>
      </c>
      <c r="C254" s="21" t="s">
        <v>21</v>
      </c>
      <c r="D254" s="59">
        <v>200</v>
      </c>
      <c r="E254" s="26">
        <v>45877</v>
      </c>
      <c r="F254" s="27" t="s">
        <v>17</v>
      </c>
      <c r="G254" s="27" t="s">
        <v>296</v>
      </c>
      <c r="H254" s="22">
        <v>46272</v>
      </c>
      <c r="I254" s="21" t="s">
        <v>274</v>
      </c>
      <c r="J254" s="21"/>
      <c r="K254" s="23">
        <f t="shared" si="6"/>
        <v>46637</v>
      </c>
      <c r="L254" s="33" t="s">
        <v>307</v>
      </c>
      <c r="M254" s="30">
        <v>9966969669</v>
      </c>
      <c r="N254" s="31" t="s">
        <v>308</v>
      </c>
      <c r="O254" s="16"/>
      <c r="P254" s="19" t="s">
        <v>806</v>
      </c>
      <c r="Q254" s="24">
        <v>46266</v>
      </c>
    </row>
    <row r="255" spans="1:17" ht="18.75" customHeight="1" x14ac:dyDescent="0.25">
      <c r="A255" s="16">
        <f t="shared" ca="1" si="7"/>
        <v>-321</v>
      </c>
      <c r="B255" s="71" t="b">
        <v>1</v>
      </c>
      <c r="C255" s="21" t="s">
        <v>16</v>
      </c>
      <c r="D255" s="59">
        <v>25</v>
      </c>
      <c r="E255" s="26">
        <v>45876</v>
      </c>
      <c r="F255" s="27" t="s">
        <v>17</v>
      </c>
      <c r="G255" s="27" t="s">
        <v>296</v>
      </c>
      <c r="H255" s="22">
        <v>46272</v>
      </c>
      <c r="I255" s="21" t="s">
        <v>830</v>
      </c>
      <c r="J255" s="21" t="s">
        <v>278</v>
      </c>
      <c r="K255" s="23">
        <f t="shared" si="6"/>
        <v>46637</v>
      </c>
      <c r="L255" s="21" t="s">
        <v>301</v>
      </c>
      <c r="M255" s="30">
        <v>9539460076</v>
      </c>
      <c r="N255" s="19" t="s">
        <v>836</v>
      </c>
      <c r="O255" s="16"/>
      <c r="P255" s="19" t="s">
        <v>847</v>
      </c>
      <c r="Q255" s="24">
        <v>46266</v>
      </c>
    </row>
    <row r="256" spans="1:17" ht="18.75" customHeight="1" x14ac:dyDescent="0.25">
      <c r="A256" s="16">
        <f t="shared" ca="1" si="7"/>
        <v>-321</v>
      </c>
      <c r="B256" s="71" t="b">
        <v>1</v>
      </c>
      <c r="C256" s="21" t="s">
        <v>22</v>
      </c>
      <c r="D256" s="59">
        <v>60.14</v>
      </c>
      <c r="E256" s="26">
        <v>45877</v>
      </c>
      <c r="F256" s="27" t="s">
        <v>23</v>
      </c>
      <c r="G256" s="28" t="s">
        <v>273</v>
      </c>
      <c r="H256" s="22">
        <v>46272</v>
      </c>
      <c r="I256" s="21" t="s">
        <v>826</v>
      </c>
      <c r="J256" s="21"/>
      <c r="K256" s="23">
        <f t="shared" si="6"/>
        <v>46637</v>
      </c>
      <c r="L256" s="21" t="s">
        <v>302</v>
      </c>
      <c r="M256" s="30">
        <v>8341622908</v>
      </c>
      <c r="N256" s="31" t="s">
        <v>303</v>
      </c>
      <c r="O256" s="16"/>
      <c r="P256" s="19" t="s">
        <v>848</v>
      </c>
      <c r="Q256" s="24">
        <v>46266</v>
      </c>
    </row>
    <row r="257" spans="1:17" ht="18.75" customHeight="1" x14ac:dyDescent="0.25">
      <c r="A257" s="16">
        <f t="shared" ca="1" si="7"/>
        <v>-324</v>
      </c>
      <c r="B257" s="71" t="b">
        <v>1</v>
      </c>
      <c r="C257" s="49" t="s">
        <v>182</v>
      </c>
      <c r="D257" s="59">
        <v>276.77</v>
      </c>
      <c r="E257" s="26" t="s">
        <v>542</v>
      </c>
      <c r="F257" s="27" t="s">
        <v>23</v>
      </c>
      <c r="G257" s="28" t="s">
        <v>273</v>
      </c>
      <c r="H257" s="29">
        <v>46275</v>
      </c>
      <c r="I257" s="21" t="s">
        <v>274</v>
      </c>
      <c r="J257" s="21"/>
      <c r="K257" s="23">
        <f t="shared" si="6"/>
        <v>46640</v>
      </c>
      <c r="L257" s="21"/>
      <c r="M257" s="30"/>
      <c r="N257" s="19" t="s">
        <v>543</v>
      </c>
      <c r="O257" s="16"/>
      <c r="P257" s="19" t="s">
        <v>675</v>
      </c>
      <c r="Q257" s="24">
        <v>46275</v>
      </c>
    </row>
    <row r="258" spans="1:17" ht="18.75" customHeight="1" x14ac:dyDescent="0.25">
      <c r="A258" s="16">
        <f t="shared" ca="1" si="7"/>
        <v>-330</v>
      </c>
      <c r="B258" s="71" t="b">
        <v>1</v>
      </c>
      <c r="C258" s="49" t="s">
        <v>837</v>
      </c>
      <c r="D258" s="63">
        <v>422.83</v>
      </c>
      <c r="E258" s="1"/>
      <c r="F258" s="65" t="s">
        <v>6</v>
      </c>
      <c r="G258" s="65" t="s">
        <v>269</v>
      </c>
      <c r="H258" s="29">
        <v>46281</v>
      </c>
      <c r="I258" s="21" t="s">
        <v>274</v>
      </c>
      <c r="J258" s="21" t="s">
        <v>274</v>
      </c>
      <c r="K258" s="23">
        <f t="shared" ref="K258:K289" si="8">EDATE(H258,12)</f>
        <v>46646</v>
      </c>
      <c r="L258" s="65" t="s">
        <v>838</v>
      </c>
      <c r="M258" s="9" t="s">
        <v>839</v>
      </c>
      <c r="N258" s="8" t="s">
        <v>840</v>
      </c>
      <c r="O258" s="1"/>
      <c r="P258" s="8" t="s">
        <v>675</v>
      </c>
      <c r="Q258" s="24">
        <v>46276</v>
      </c>
    </row>
    <row r="259" spans="1:17" ht="18.75" customHeight="1" x14ac:dyDescent="0.25">
      <c r="A259" s="16">
        <f t="shared" ca="1" si="7"/>
        <v>-330</v>
      </c>
      <c r="B259" s="71" t="b">
        <v>1</v>
      </c>
      <c r="C259" s="21" t="s">
        <v>39</v>
      </c>
      <c r="D259" s="35">
        <v>10</v>
      </c>
      <c r="E259" s="36">
        <v>45477</v>
      </c>
      <c r="F259" s="37" t="s">
        <v>19</v>
      </c>
      <c r="G259" s="21" t="s">
        <v>298</v>
      </c>
      <c r="H259" s="29">
        <v>46281</v>
      </c>
      <c r="I259" s="21" t="s">
        <v>274</v>
      </c>
      <c r="J259" s="21" t="s">
        <v>274</v>
      </c>
      <c r="K259" s="23">
        <f t="shared" si="8"/>
        <v>46646</v>
      </c>
      <c r="L259" s="37" t="s">
        <v>336</v>
      </c>
      <c r="M259" s="79">
        <v>9527408322</v>
      </c>
      <c r="N259" s="39" t="s">
        <v>337</v>
      </c>
      <c r="O259" s="16"/>
      <c r="P259" s="19" t="s">
        <v>842</v>
      </c>
      <c r="Q259" s="24">
        <v>46276</v>
      </c>
    </row>
    <row r="260" spans="1:17" ht="18.75" customHeight="1" x14ac:dyDescent="0.25">
      <c r="A260" s="16">
        <f t="shared" ca="1" si="7"/>
        <v>-330</v>
      </c>
      <c r="B260" s="71" t="b">
        <v>1</v>
      </c>
      <c r="C260" s="21" t="s">
        <v>35</v>
      </c>
      <c r="D260" s="56">
        <v>10</v>
      </c>
      <c r="E260" s="26">
        <v>44267</v>
      </c>
      <c r="F260" s="28" t="s">
        <v>36</v>
      </c>
      <c r="G260" s="28" t="s">
        <v>273</v>
      </c>
      <c r="H260" s="29">
        <v>46281</v>
      </c>
      <c r="I260" s="21" t="s">
        <v>828</v>
      </c>
      <c r="J260" s="21" t="s">
        <v>278</v>
      </c>
      <c r="K260" s="23">
        <f t="shared" si="8"/>
        <v>46646</v>
      </c>
      <c r="L260" s="21" t="s">
        <v>332</v>
      </c>
      <c r="M260" s="30">
        <v>9652828883</v>
      </c>
      <c r="N260" s="42" t="s">
        <v>333</v>
      </c>
      <c r="O260" s="16"/>
      <c r="P260" s="19" t="s">
        <v>683</v>
      </c>
      <c r="Q260" s="24">
        <v>46276</v>
      </c>
    </row>
    <row r="261" spans="1:17" ht="18.75" customHeight="1" x14ac:dyDescent="0.25">
      <c r="A261" s="16">
        <f t="shared" ca="1" si="7"/>
        <v>-330</v>
      </c>
      <c r="B261" s="71" t="b">
        <v>1</v>
      </c>
      <c r="C261" s="21" t="s">
        <v>815</v>
      </c>
      <c r="D261" s="40">
        <v>77</v>
      </c>
      <c r="E261" s="26">
        <v>44655</v>
      </c>
      <c r="F261" s="33" t="s">
        <v>29</v>
      </c>
      <c r="G261" s="28" t="s">
        <v>273</v>
      </c>
      <c r="H261" s="29">
        <v>46281</v>
      </c>
      <c r="I261" s="21" t="s">
        <v>829</v>
      </c>
      <c r="J261" s="21" t="s">
        <v>278</v>
      </c>
      <c r="K261" s="23">
        <f t="shared" si="8"/>
        <v>46646</v>
      </c>
      <c r="L261" s="21" t="s">
        <v>321</v>
      </c>
      <c r="M261" s="30">
        <v>7288895299</v>
      </c>
      <c r="N261" s="19" t="s">
        <v>322</v>
      </c>
      <c r="O261" s="16"/>
      <c r="P261" s="19" t="s">
        <v>675</v>
      </c>
      <c r="Q261" s="24">
        <v>46276</v>
      </c>
    </row>
    <row r="262" spans="1:17" ht="18.75" customHeight="1" x14ac:dyDescent="0.25">
      <c r="A262" s="16">
        <f t="shared" ref="A262:A289" ca="1" si="9">IF(OR(I262="Withdrawn",R262="Transfer"),"",($A$1-H262)-365)</f>
        <v>-330</v>
      </c>
      <c r="B262" s="71" t="b">
        <v>1</v>
      </c>
      <c r="C262" s="21" t="s">
        <v>816</v>
      </c>
      <c r="D262" s="40">
        <v>40.729999999999997</v>
      </c>
      <c r="E262" s="26">
        <v>44669</v>
      </c>
      <c r="F262" s="33" t="s">
        <v>29</v>
      </c>
      <c r="G262" s="28" t="s">
        <v>273</v>
      </c>
      <c r="H262" s="29">
        <v>46281</v>
      </c>
      <c r="I262" s="21" t="s">
        <v>828</v>
      </c>
      <c r="J262" s="21" t="s">
        <v>278</v>
      </c>
      <c r="K262" s="23">
        <f t="shared" si="8"/>
        <v>46646</v>
      </c>
      <c r="L262" s="21" t="s">
        <v>323</v>
      </c>
      <c r="M262" s="30">
        <v>9819090487</v>
      </c>
      <c r="N262" s="31" t="s">
        <v>324</v>
      </c>
      <c r="O262" s="16"/>
      <c r="P262" s="19" t="s">
        <v>704</v>
      </c>
      <c r="Q262" s="24">
        <v>46276</v>
      </c>
    </row>
    <row r="263" spans="1:17" ht="18.75" customHeight="1" x14ac:dyDescent="0.25">
      <c r="A263" s="16">
        <f t="shared" ca="1" si="9"/>
        <v>-330</v>
      </c>
      <c r="B263" s="71" t="b">
        <v>1</v>
      </c>
      <c r="C263" s="21" t="s">
        <v>31</v>
      </c>
      <c r="D263" s="40">
        <v>18.170000000000002</v>
      </c>
      <c r="E263" s="26">
        <v>44714</v>
      </c>
      <c r="F263" s="33" t="s">
        <v>29</v>
      </c>
      <c r="G263" s="28" t="s">
        <v>273</v>
      </c>
      <c r="H263" s="29">
        <v>46281</v>
      </c>
      <c r="I263" s="21" t="s">
        <v>830</v>
      </c>
      <c r="J263" s="21"/>
      <c r="K263" s="23">
        <f t="shared" si="8"/>
        <v>46646</v>
      </c>
      <c r="L263" s="21" t="s">
        <v>325</v>
      </c>
      <c r="M263" s="30">
        <v>8985075002</v>
      </c>
      <c r="N263" s="31" t="s">
        <v>326</v>
      </c>
      <c r="O263" s="16"/>
      <c r="P263" s="19" t="s">
        <v>704</v>
      </c>
      <c r="Q263" s="24">
        <v>46276</v>
      </c>
    </row>
    <row r="264" spans="1:17" ht="18.75" customHeight="1" x14ac:dyDescent="0.25">
      <c r="A264" s="16">
        <f t="shared" ca="1" si="9"/>
        <v>-330</v>
      </c>
      <c r="B264" s="71" t="b">
        <v>1</v>
      </c>
      <c r="C264" s="21" t="s">
        <v>33</v>
      </c>
      <c r="D264" s="58">
        <v>23.08</v>
      </c>
      <c r="E264" s="16">
        <v>45036</v>
      </c>
      <c r="F264" s="21" t="s">
        <v>34</v>
      </c>
      <c r="G264" s="21" t="s">
        <v>298</v>
      </c>
      <c r="H264" s="29">
        <v>46281</v>
      </c>
      <c r="I264" s="21" t="s">
        <v>827</v>
      </c>
      <c r="J264" s="21"/>
      <c r="K264" s="23">
        <f t="shared" si="8"/>
        <v>46646</v>
      </c>
      <c r="L264" s="21" t="s">
        <v>329</v>
      </c>
      <c r="M264" s="30">
        <v>9901929333</v>
      </c>
      <c r="N264" s="76" t="s">
        <v>330</v>
      </c>
      <c r="O264" s="16"/>
      <c r="P264" s="19" t="s">
        <v>854</v>
      </c>
      <c r="Q264" s="24">
        <v>46276</v>
      </c>
    </row>
    <row r="265" spans="1:17" ht="18.75" customHeight="1" x14ac:dyDescent="0.25">
      <c r="A265" s="16">
        <f t="shared" ca="1" si="9"/>
        <v>-330</v>
      </c>
      <c r="B265" s="71" t="b">
        <v>1</v>
      </c>
      <c r="C265" s="49" t="s">
        <v>54</v>
      </c>
      <c r="D265" s="59">
        <v>1800</v>
      </c>
      <c r="E265" s="26">
        <v>45694</v>
      </c>
      <c r="F265" s="27" t="s">
        <v>23</v>
      </c>
      <c r="G265" s="28" t="s">
        <v>273</v>
      </c>
      <c r="H265" s="29">
        <v>46281</v>
      </c>
      <c r="I265" s="27"/>
      <c r="J265" s="27" t="s">
        <v>278</v>
      </c>
      <c r="K265" s="23">
        <f t="shared" si="8"/>
        <v>46646</v>
      </c>
      <c r="L265" s="21" t="s">
        <v>357</v>
      </c>
      <c r="M265" s="32"/>
      <c r="N265" s="42" t="s">
        <v>358</v>
      </c>
      <c r="O265" s="16"/>
      <c r="P265" s="19" t="s">
        <v>806</v>
      </c>
      <c r="Q265" s="24">
        <v>46276</v>
      </c>
    </row>
    <row r="266" spans="1:17" ht="18.75" customHeight="1" x14ac:dyDescent="0.25">
      <c r="A266" s="16">
        <f t="shared" ca="1" si="9"/>
        <v>-330</v>
      </c>
      <c r="B266" s="71" t="b">
        <v>1</v>
      </c>
      <c r="C266" s="21" t="s">
        <v>37</v>
      </c>
      <c r="D266" s="56">
        <v>14</v>
      </c>
      <c r="E266" s="26">
        <v>44210</v>
      </c>
      <c r="F266" s="28" t="s">
        <v>36</v>
      </c>
      <c r="G266" s="28" t="s">
        <v>273</v>
      </c>
      <c r="H266" s="29">
        <v>46281</v>
      </c>
      <c r="I266" s="28" t="s">
        <v>828</v>
      </c>
      <c r="J266" s="28"/>
      <c r="K266" s="23">
        <f t="shared" si="8"/>
        <v>46646</v>
      </c>
      <c r="L266" s="21" t="s">
        <v>284</v>
      </c>
      <c r="M266" s="32" t="s">
        <v>285</v>
      </c>
      <c r="N266" s="31" t="s">
        <v>334</v>
      </c>
      <c r="O266" s="16"/>
      <c r="P266" s="43" t="s">
        <v>675</v>
      </c>
      <c r="Q266" s="24">
        <v>46276</v>
      </c>
    </row>
    <row r="267" spans="1:17" ht="18.75" customHeight="1" x14ac:dyDescent="0.25">
      <c r="A267" s="16">
        <f t="shared" ca="1" si="9"/>
        <v>-330</v>
      </c>
      <c r="B267" s="71" t="b">
        <v>1</v>
      </c>
      <c r="C267" s="21" t="s">
        <v>38</v>
      </c>
      <c r="D267" s="56">
        <v>6.5</v>
      </c>
      <c r="E267" s="26">
        <v>44267</v>
      </c>
      <c r="F267" s="28" t="s">
        <v>36</v>
      </c>
      <c r="G267" s="28" t="s">
        <v>273</v>
      </c>
      <c r="H267" s="29">
        <v>46281</v>
      </c>
      <c r="I267" s="28" t="s">
        <v>829</v>
      </c>
      <c r="J267" s="28"/>
      <c r="K267" s="23">
        <f t="shared" si="8"/>
        <v>46646</v>
      </c>
      <c r="L267" s="21" t="s">
        <v>284</v>
      </c>
      <c r="M267" s="32" t="s">
        <v>285</v>
      </c>
      <c r="N267" s="31" t="s">
        <v>335</v>
      </c>
      <c r="O267" s="16"/>
      <c r="P267" s="19" t="s">
        <v>683</v>
      </c>
      <c r="Q267" s="24">
        <v>46276</v>
      </c>
    </row>
    <row r="268" spans="1:17" ht="18.75" customHeight="1" x14ac:dyDescent="0.25">
      <c r="A268" s="16">
        <f t="shared" ca="1" si="9"/>
        <v>-343</v>
      </c>
      <c r="B268" s="71" t="b">
        <v>1</v>
      </c>
      <c r="C268" s="21" t="s">
        <v>47</v>
      </c>
      <c r="D268" s="58">
        <v>50</v>
      </c>
      <c r="E268" s="16">
        <v>44712</v>
      </c>
      <c r="F268" s="21" t="s">
        <v>34</v>
      </c>
      <c r="G268" s="21" t="s">
        <v>298</v>
      </c>
      <c r="H268" s="22">
        <v>46294</v>
      </c>
      <c r="I268" s="41" t="s">
        <v>826</v>
      </c>
      <c r="J268" s="21"/>
      <c r="K268" s="23">
        <f t="shared" si="8"/>
        <v>46659</v>
      </c>
      <c r="L268" s="21" t="s">
        <v>345</v>
      </c>
      <c r="M268" s="30">
        <v>9426039752</v>
      </c>
      <c r="N268" s="19" t="s">
        <v>346</v>
      </c>
      <c r="O268" s="16"/>
      <c r="P268" s="19" t="s">
        <v>704</v>
      </c>
      <c r="Q268" s="24">
        <v>46288</v>
      </c>
    </row>
    <row r="269" spans="1:17" ht="18.75" customHeight="1" x14ac:dyDescent="0.25">
      <c r="A269" s="16" t="str">
        <f t="shared" si="9"/>
        <v/>
      </c>
      <c r="B269" s="71" t="b">
        <v>1</v>
      </c>
      <c r="C269" s="21" t="s">
        <v>49</v>
      </c>
      <c r="D269" s="59">
        <v>1010</v>
      </c>
      <c r="E269" s="26">
        <v>45769</v>
      </c>
      <c r="F269" s="27" t="s">
        <v>15</v>
      </c>
      <c r="G269" s="27" t="s">
        <v>296</v>
      </c>
      <c r="H269" s="29">
        <v>46296</v>
      </c>
      <c r="I269" s="21" t="s">
        <v>814</v>
      </c>
      <c r="J269" s="21" t="s">
        <v>814</v>
      </c>
      <c r="K269" s="23">
        <f t="shared" si="8"/>
        <v>46661</v>
      </c>
      <c r="L269" s="33" t="s">
        <v>302</v>
      </c>
      <c r="M269" s="32">
        <v>8341622908</v>
      </c>
      <c r="N269" s="42" t="s">
        <v>355</v>
      </c>
      <c r="O269" s="16"/>
      <c r="P269" s="19" t="s">
        <v>728</v>
      </c>
      <c r="Q269" s="24">
        <v>46290</v>
      </c>
    </row>
    <row r="270" spans="1:17" ht="18.75" customHeight="1" x14ac:dyDescent="0.25">
      <c r="A270" s="16">
        <f t="shared" ca="1" si="9"/>
        <v>-345</v>
      </c>
      <c r="B270" s="71" t="b">
        <v>1</v>
      </c>
      <c r="C270" s="21" t="s">
        <v>818</v>
      </c>
      <c r="D270" s="58">
        <v>385.47</v>
      </c>
      <c r="E270" s="16"/>
      <c r="F270" s="21" t="s">
        <v>43</v>
      </c>
      <c r="G270" s="21" t="s">
        <v>294</v>
      </c>
      <c r="H270" s="29">
        <v>46296</v>
      </c>
      <c r="I270" s="21" t="s">
        <v>821</v>
      </c>
      <c r="J270" s="21" t="s">
        <v>278</v>
      </c>
      <c r="K270" s="23">
        <f t="shared" si="8"/>
        <v>46661</v>
      </c>
      <c r="L270" s="21" t="s">
        <v>340</v>
      </c>
      <c r="M270" s="30"/>
      <c r="N270" s="31" t="s">
        <v>341</v>
      </c>
      <c r="O270" s="16"/>
      <c r="P270" s="19" t="s">
        <v>704</v>
      </c>
      <c r="Q270" s="24">
        <v>46290</v>
      </c>
    </row>
    <row r="271" spans="1:17" ht="18.75" customHeight="1" x14ac:dyDescent="0.25">
      <c r="A271" s="16">
        <f t="shared" ca="1" si="9"/>
        <v>-345</v>
      </c>
      <c r="B271" s="71" t="b">
        <v>1</v>
      </c>
      <c r="C271" s="21" t="s">
        <v>45</v>
      </c>
      <c r="D271" s="59">
        <v>80</v>
      </c>
      <c r="E271" s="26">
        <v>45114</v>
      </c>
      <c r="F271" s="27" t="s">
        <v>6</v>
      </c>
      <c r="G271" s="28" t="s">
        <v>273</v>
      </c>
      <c r="H271" s="29">
        <v>46296</v>
      </c>
      <c r="I271" s="21" t="s">
        <v>825</v>
      </c>
      <c r="J271" s="21" t="s">
        <v>278</v>
      </c>
      <c r="K271" s="23">
        <f t="shared" si="8"/>
        <v>46661</v>
      </c>
      <c r="L271" s="21" t="s">
        <v>347</v>
      </c>
      <c r="M271" s="30"/>
      <c r="N271" s="42" t="s">
        <v>348</v>
      </c>
      <c r="O271" s="16"/>
      <c r="P271" s="19" t="s">
        <v>704</v>
      </c>
      <c r="Q271" s="24">
        <v>46290</v>
      </c>
    </row>
    <row r="272" spans="1:17" ht="18.75" customHeight="1" x14ac:dyDescent="0.25">
      <c r="A272" s="16">
        <f t="shared" ca="1" si="9"/>
        <v>-345</v>
      </c>
      <c r="B272" s="71" t="b">
        <v>1</v>
      </c>
      <c r="C272" s="21" t="s">
        <v>817</v>
      </c>
      <c r="D272" s="58">
        <v>43</v>
      </c>
      <c r="E272" s="26">
        <v>46265</v>
      </c>
      <c r="F272" s="21" t="s">
        <v>41</v>
      </c>
      <c r="G272" s="28" t="s">
        <v>273</v>
      </c>
      <c r="H272" s="29">
        <v>46296</v>
      </c>
      <c r="I272" s="21" t="s">
        <v>826</v>
      </c>
      <c r="J272" s="21" t="s">
        <v>278</v>
      </c>
      <c r="K272" s="23">
        <f t="shared" si="8"/>
        <v>46661</v>
      </c>
      <c r="L272" s="21" t="s">
        <v>338</v>
      </c>
      <c r="M272" s="30">
        <v>9725585448</v>
      </c>
      <c r="N272" s="31" t="s">
        <v>339</v>
      </c>
      <c r="O272" s="16"/>
      <c r="P272" s="19" t="s">
        <v>769</v>
      </c>
      <c r="Q272" s="24">
        <v>46290</v>
      </c>
    </row>
    <row r="273" spans="1:18" ht="18.75" customHeight="1" x14ac:dyDescent="0.25">
      <c r="A273" s="16">
        <f t="shared" ca="1" si="9"/>
        <v>-345</v>
      </c>
      <c r="B273" s="71" t="b">
        <v>1</v>
      </c>
      <c r="C273" s="21" t="s">
        <v>44</v>
      </c>
      <c r="D273" s="59">
        <v>150</v>
      </c>
      <c r="E273" s="26">
        <v>45911</v>
      </c>
      <c r="F273" s="27" t="s">
        <v>15</v>
      </c>
      <c r="G273" s="27" t="s">
        <v>296</v>
      </c>
      <c r="H273" s="29">
        <v>46296</v>
      </c>
      <c r="I273" s="21" t="s">
        <v>821</v>
      </c>
      <c r="J273" s="21" t="s">
        <v>278</v>
      </c>
      <c r="K273" s="23">
        <f t="shared" si="8"/>
        <v>46661</v>
      </c>
      <c r="L273" s="21" t="s">
        <v>301</v>
      </c>
      <c r="M273" s="32">
        <v>9539460076</v>
      </c>
      <c r="N273" s="42" t="s">
        <v>342</v>
      </c>
      <c r="O273" s="16"/>
      <c r="P273" s="19" t="s">
        <v>704</v>
      </c>
      <c r="Q273" s="24">
        <v>46290</v>
      </c>
    </row>
    <row r="274" spans="1:18" ht="18.75" customHeight="1" x14ac:dyDescent="0.25">
      <c r="A274" s="16">
        <f t="shared" ca="1" si="9"/>
        <v>-345</v>
      </c>
      <c r="B274" s="71" t="b">
        <v>1</v>
      </c>
      <c r="C274" s="21" t="s">
        <v>860</v>
      </c>
      <c r="D274" s="63">
        <v>60</v>
      </c>
      <c r="E274" s="1"/>
      <c r="F274" s="65" t="s">
        <v>23</v>
      </c>
      <c r="G274" s="65" t="s">
        <v>273</v>
      </c>
      <c r="H274" s="29">
        <v>46296</v>
      </c>
      <c r="I274" s="21" t="s">
        <v>827</v>
      </c>
      <c r="J274" s="21"/>
      <c r="K274" s="23">
        <f t="shared" si="8"/>
        <v>46661</v>
      </c>
      <c r="L274" s="65"/>
      <c r="M274" s="9"/>
      <c r="N274" s="8" t="s">
        <v>859</v>
      </c>
      <c r="O274" s="1"/>
      <c r="P274" s="8"/>
      <c r="Q274" s="24">
        <v>46290</v>
      </c>
    </row>
    <row r="275" spans="1:18" ht="18.75" customHeight="1" x14ac:dyDescent="0.25">
      <c r="A275" s="16">
        <f t="shared" ca="1" si="9"/>
        <v>-345</v>
      </c>
      <c r="B275" s="71" t="b">
        <v>1</v>
      </c>
      <c r="C275" s="21" t="s">
        <v>46</v>
      </c>
      <c r="D275" s="58">
        <v>24.37</v>
      </c>
      <c r="E275" s="16">
        <v>44340</v>
      </c>
      <c r="F275" s="21" t="s">
        <v>34</v>
      </c>
      <c r="G275" s="21" t="s">
        <v>298</v>
      </c>
      <c r="H275" s="29">
        <v>46296</v>
      </c>
      <c r="I275" s="21" t="s">
        <v>274</v>
      </c>
      <c r="J275" s="21"/>
      <c r="K275" s="23">
        <f t="shared" si="8"/>
        <v>46661</v>
      </c>
      <c r="L275" s="21" t="s">
        <v>343</v>
      </c>
      <c r="M275" s="30">
        <v>8863000000</v>
      </c>
      <c r="N275" s="19" t="s">
        <v>344</v>
      </c>
      <c r="O275" s="16"/>
      <c r="P275" s="19" t="s">
        <v>855</v>
      </c>
      <c r="Q275" s="24">
        <v>46290</v>
      </c>
    </row>
    <row r="276" spans="1:18" ht="18.75" customHeight="1" x14ac:dyDescent="0.25">
      <c r="A276" s="16">
        <f t="shared" ca="1" si="9"/>
        <v>-345</v>
      </c>
      <c r="B276" s="71" t="b">
        <v>1</v>
      </c>
      <c r="C276" s="21" t="s">
        <v>50</v>
      </c>
      <c r="D276" s="58">
        <v>40</v>
      </c>
      <c r="E276" s="16"/>
      <c r="F276" s="21" t="s">
        <v>51</v>
      </c>
      <c r="G276" s="21" t="s">
        <v>269</v>
      </c>
      <c r="H276" s="29">
        <v>46296</v>
      </c>
      <c r="I276" s="21" t="s">
        <v>830</v>
      </c>
      <c r="J276" s="21"/>
      <c r="K276" s="23">
        <f t="shared" si="8"/>
        <v>46661</v>
      </c>
      <c r="L276" s="21" t="s">
        <v>353</v>
      </c>
      <c r="M276" s="30">
        <v>9884262082</v>
      </c>
      <c r="N276" s="31" t="s">
        <v>354</v>
      </c>
      <c r="O276" s="16"/>
      <c r="P276" s="19" t="s">
        <v>856</v>
      </c>
      <c r="Q276" s="24">
        <v>46290</v>
      </c>
    </row>
    <row r="277" spans="1:18" ht="18.75" customHeight="1" x14ac:dyDescent="0.25">
      <c r="A277" s="16">
        <f t="shared" ca="1" si="9"/>
        <v>-345</v>
      </c>
      <c r="B277" s="71" t="b">
        <v>1</v>
      </c>
      <c r="C277" s="21" t="s">
        <v>851</v>
      </c>
      <c r="D277" s="58">
        <v>374.2</v>
      </c>
      <c r="E277" s="16">
        <v>44228</v>
      </c>
      <c r="F277" s="21" t="s">
        <v>34</v>
      </c>
      <c r="G277" s="21" t="s">
        <v>298</v>
      </c>
      <c r="H277" s="29">
        <v>46296</v>
      </c>
      <c r="I277" s="41" t="s">
        <v>830</v>
      </c>
      <c r="J277" s="21"/>
      <c r="K277" s="23">
        <f t="shared" si="8"/>
        <v>46661</v>
      </c>
      <c r="L277" s="21" t="s">
        <v>351</v>
      </c>
      <c r="M277" s="30">
        <v>8976594264</v>
      </c>
      <c r="N277" s="19" t="s">
        <v>352</v>
      </c>
      <c r="O277" s="16"/>
      <c r="P277" s="19" t="s">
        <v>683</v>
      </c>
      <c r="Q277" s="24">
        <v>46290</v>
      </c>
    </row>
    <row r="278" spans="1:18" ht="18.75" customHeight="1" x14ac:dyDescent="0.25">
      <c r="A278" s="16">
        <f t="shared" ca="1" si="9"/>
        <v>-351</v>
      </c>
      <c r="B278" s="71" t="b">
        <v>1</v>
      </c>
      <c r="C278" s="21" t="s">
        <v>75</v>
      </c>
      <c r="D278" s="59">
        <v>59.85</v>
      </c>
      <c r="E278" s="26" t="s">
        <v>386</v>
      </c>
      <c r="F278" s="27" t="s">
        <v>6</v>
      </c>
      <c r="G278" s="28" t="s">
        <v>273</v>
      </c>
      <c r="H278" s="29">
        <v>46302</v>
      </c>
      <c r="I278" s="21" t="s">
        <v>274</v>
      </c>
      <c r="J278" s="21"/>
      <c r="K278" s="23">
        <f t="shared" si="8"/>
        <v>46667</v>
      </c>
      <c r="L278" s="21" t="s">
        <v>387</v>
      </c>
      <c r="M278" s="30">
        <v>9990359554</v>
      </c>
      <c r="N278" s="19" t="s">
        <v>388</v>
      </c>
      <c r="O278" s="16"/>
      <c r="P278" s="19"/>
      <c r="Q278" s="24"/>
    </row>
    <row r="279" spans="1:18" ht="18.75" customHeight="1" x14ac:dyDescent="0.25">
      <c r="A279" s="16">
        <f t="shared" ca="1" si="9"/>
        <v>-353</v>
      </c>
      <c r="B279" s="71" t="b">
        <v>1</v>
      </c>
      <c r="C279" s="20" t="s">
        <v>30</v>
      </c>
      <c r="D279" s="40">
        <v>5</v>
      </c>
      <c r="E279" s="26">
        <v>45107</v>
      </c>
      <c r="F279" s="33" t="s">
        <v>29</v>
      </c>
      <c r="G279" s="28" t="s">
        <v>273</v>
      </c>
      <c r="H279" s="29">
        <v>46304</v>
      </c>
      <c r="I279" s="21" t="s">
        <v>830</v>
      </c>
      <c r="J279" s="21" t="s">
        <v>888</v>
      </c>
      <c r="K279" s="23">
        <f t="shared" si="8"/>
        <v>46669</v>
      </c>
      <c r="L279" s="21" t="s">
        <v>319</v>
      </c>
      <c r="M279" s="30">
        <v>9123575701</v>
      </c>
      <c r="N279" s="19" t="s">
        <v>320</v>
      </c>
      <c r="O279" s="16"/>
      <c r="P279" s="19" t="s">
        <v>877</v>
      </c>
      <c r="Q279" s="24">
        <v>46301</v>
      </c>
    </row>
    <row r="280" spans="1:18" ht="18.75" customHeight="1" x14ac:dyDescent="0.25">
      <c r="A280" s="16">
        <f t="shared" ca="1" si="9"/>
        <v>-353</v>
      </c>
      <c r="B280" s="71" t="b">
        <v>1</v>
      </c>
      <c r="C280" s="21" t="s">
        <v>852</v>
      </c>
      <c r="D280" s="58">
        <v>26.8</v>
      </c>
      <c r="E280" s="16"/>
      <c r="F280" s="21" t="s">
        <v>61</v>
      </c>
      <c r="G280" s="21" t="s">
        <v>269</v>
      </c>
      <c r="H280" s="29">
        <v>46304</v>
      </c>
      <c r="I280" s="21" t="s">
        <v>826</v>
      </c>
      <c r="J280" s="21" t="s">
        <v>278</v>
      </c>
      <c r="K280" s="23">
        <f t="shared" si="8"/>
        <v>46669</v>
      </c>
      <c r="L280" s="21" t="s">
        <v>367</v>
      </c>
      <c r="M280" s="30">
        <v>9444990079</v>
      </c>
      <c r="N280" s="19" t="s">
        <v>368</v>
      </c>
      <c r="O280" s="16"/>
      <c r="P280" s="19" t="s">
        <v>675</v>
      </c>
      <c r="Q280" s="24">
        <v>46301</v>
      </c>
    </row>
    <row r="281" spans="1:18" ht="18.75" customHeight="1" x14ac:dyDescent="0.25">
      <c r="A281" s="16">
        <f t="shared" ca="1" si="9"/>
        <v>-353</v>
      </c>
      <c r="B281" s="71" t="b">
        <v>1</v>
      </c>
      <c r="C281" s="21" t="s">
        <v>53</v>
      </c>
      <c r="D281" s="58">
        <v>240.2</v>
      </c>
      <c r="E281" s="16"/>
      <c r="F281" s="21" t="s">
        <v>43</v>
      </c>
      <c r="G281" s="21" t="s">
        <v>294</v>
      </c>
      <c r="H281" s="29">
        <v>46304</v>
      </c>
      <c r="I281" s="21" t="s">
        <v>825</v>
      </c>
      <c r="J281" s="21" t="s">
        <v>889</v>
      </c>
      <c r="K281" s="23">
        <f t="shared" si="8"/>
        <v>46669</v>
      </c>
      <c r="L281" s="21" t="s">
        <v>363</v>
      </c>
      <c r="M281" s="30"/>
      <c r="N281" s="31" t="s">
        <v>364</v>
      </c>
      <c r="O281" s="16"/>
      <c r="P281" s="19" t="s">
        <v>854</v>
      </c>
      <c r="Q281" s="24">
        <v>46301</v>
      </c>
    </row>
    <row r="282" spans="1:18" ht="18.75" customHeight="1" x14ac:dyDescent="0.25">
      <c r="A282" s="16">
        <f t="shared" ca="1" si="9"/>
        <v>-353</v>
      </c>
      <c r="B282" s="71" t="b">
        <v>1</v>
      </c>
      <c r="C282" s="21" t="s">
        <v>659</v>
      </c>
      <c r="D282" s="58">
        <v>60.18</v>
      </c>
      <c r="E282" s="16">
        <v>45768</v>
      </c>
      <c r="F282" s="21" t="s">
        <v>34</v>
      </c>
      <c r="G282" s="21" t="s">
        <v>298</v>
      </c>
      <c r="H282" s="22">
        <v>46304</v>
      </c>
      <c r="I282" s="21" t="s">
        <v>829</v>
      </c>
      <c r="J282" s="21" t="s">
        <v>278</v>
      </c>
      <c r="K282" s="23">
        <f t="shared" si="8"/>
        <v>46669</v>
      </c>
      <c r="L282" s="21" t="s">
        <v>660</v>
      </c>
      <c r="M282" s="30">
        <v>9827014909</v>
      </c>
      <c r="N282" s="19" t="s">
        <v>661</v>
      </c>
      <c r="O282" s="16"/>
      <c r="P282" s="19" t="s">
        <v>662</v>
      </c>
      <c r="Q282" s="24">
        <v>46302</v>
      </c>
    </row>
    <row r="283" spans="1:18" ht="18.75" customHeight="1" x14ac:dyDescent="0.25">
      <c r="A283" s="16">
        <f t="shared" ca="1" si="9"/>
        <v>-353</v>
      </c>
      <c r="B283" s="71" t="b">
        <v>1</v>
      </c>
      <c r="C283" s="21" t="s">
        <v>64</v>
      </c>
      <c r="D283" s="47">
        <v>10</v>
      </c>
      <c r="E283" s="48">
        <v>44274</v>
      </c>
      <c r="F283" s="33" t="s">
        <v>65</v>
      </c>
      <c r="G283" s="21" t="s">
        <v>298</v>
      </c>
      <c r="H283" s="29">
        <v>46304</v>
      </c>
      <c r="I283" s="21" t="s">
        <v>830</v>
      </c>
      <c r="J283" s="21" t="s">
        <v>278</v>
      </c>
      <c r="K283" s="23">
        <f t="shared" si="8"/>
        <v>46669</v>
      </c>
      <c r="L283" s="21" t="s">
        <v>372</v>
      </c>
      <c r="M283" s="30">
        <v>9831806069</v>
      </c>
      <c r="N283" s="19" t="s">
        <v>373</v>
      </c>
      <c r="O283" s="16"/>
      <c r="P283" s="19" t="s">
        <v>878</v>
      </c>
      <c r="Q283" s="24">
        <v>46301</v>
      </c>
    </row>
    <row r="284" spans="1:18" ht="18.75" customHeight="1" x14ac:dyDescent="0.25">
      <c r="A284" s="16">
        <f t="shared" ca="1" si="9"/>
        <v>-353</v>
      </c>
      <c r="B284" s="71" t="b">
        <v>1</v>
      </c>
      <c r="C284" s="21" t="s">
        <v>853</v>
      </c>
      <c r="D284" s="60">
        <v>136.15</v>
      </c>
      <c r="E284" s="44">
        <v>45148</v>
      </c>
      <c r="F284" s="45" t="s">
        <v>63</v>
      </c>
      <c r="G284" s="21" t="s">
        <v>298</v>
      </c>
      <c r="H284" s="29">
        <v>46304</v>
      </c>
      <c r="I284" s="21" t="s">
        <v>274</v>
      </c>
      <c r="J284" s="21" t="s">
        <v>274</v>
      </c>
      <c r="K284" s="23">
        <f t="shared" si="8"/>
        <v>46669</v>
      </c>
      <c r="L284" s="21" t="s">
        <v>369</v>
      </c>
      <c r="M284" s="30">
        <v>8291847670</v>
      </c>
      <c r="N284" s="19" t="s">
        <v>370</v>
      </c>
      <c r="O284" s="16"/>
      <c r="P284" s="19" t="s">
        <v>749</v>
      </c>
      <c r="Q284" s="24">
        <v>46301</v>
      </c>
    </row>
    <row r="285" spans="1:18" ht="18.75" customHeight="1" x14ac:dyDescent="0.25">
      <c r="A285" s="16">
        <f t="shared" ca="1" si="9"/>
        <v>-353</v>
      </c>
      <c r="B285" s="71" t="b">
        <v>1</v>
      </c>
      <c r="C285" s="21" t="s">
        <v>67</v>
      </c>
      <c r="D285" s="58">
        <v>100</v>
      </c>
      <c r="E285" s="16">
        <v>45800</v>
      </c>
      <c r="F285" s="21" t="s">
        <v>34</v>
      </c>
      <c r="G285" s="21" t="s">
        <v>298</v>
      </c>
      <c r="H285" s="29">
        <v>46304</v>
      </c>
      <c r="I285" s="21" t="s">
        <v>274</v>
      </c>
      <c r="J285" s="21" t="s">
        <v>274</v>
      </c>
      <c r="K285" s="23">
        <f t="shared" si="8"/>
        <v>46669</v>
      </c>
      <c r="L285" s="21" t="s">
        <v>377</v>
      </c>
      <c r="M285" s="30">
        <v>7828536047</v>
      </c>
      <c r="N285" s="19" t="s">
        <v>378</v>
      </c>
      <c r="O285" s="16"/>
      <c r="P285" s="19" t="s">
        <v>877</v>
      </c>
      <c r="Q285" s="24">
        <v>46301</v>
      </c>
    </row>
    <row r="286" spans="1:18" ht="18.75" customHeight="1" x14ac:dyDescent="0.3">
      <c r="A286" s="16" t="str">
        <f t="shared" si="9"/>
        <v/>
      </c>
      <c r="B286" s="71" t="b">
        <v>1</v>
      </c>
      <c r="C286" s="75" t="s">
        <v>68</v>
      </c>
      <c r="D286" s="59">
        <v>200</v>
      </c>
      <c r="E286" s="26" t="s">
        <v>374</v>
      </c>
      <c r="F286" s="27" t="s">
        <v>23</v>
      </c>
      <c r="G286" s="28" t="s">
        <v>273</v>
      </c>
      <c r="H286" s="29">
        <v>46304</v>
      </c>
      <c r="I286" s="27" t="s">
        <v>899</v>
      </c>
      <c r="J286" s="27" t="s">
        <v>889</v>
      </c>
      <c r="K286" s="23">
        <f t="shared" si="8"/>
        <v>46669</v>
      </c>
      <c r="L286" s="21" t="s">
        <v>375</v>
      </c>
      <c r="M286" s="30">
        <v>8800203338</v>
      </c>
      <c r="N286" s="19" t="s">
        <v>376</v>
      </c>
      <c r="O286" s="16"/>
      <c r="P286" s="19" t="s">
        <v>749</v>
      </c>
      <c r="Q286" s="24">
        <v>46301</v>
      </c>
      <c r="R286" t="s">
        <v>890</v>
      </c>
    </row>
    <row r="287" spans="1:18" ht="18.75" customHeight="1" x14ac:dyDescent="0.25">
      <c r="A287" s="16">
        <f t="shared" ca="1" si="9"/>
        <v>-353</v>
      </c>
      <c r="B287" s="71" t="b">
        <v>1</v>
      </c>
      <c r="C287" s="21" t="s">
        <v>55</v>
      </c>
      <c r="D287" s="58">
        <v>66.62</v>
      </c>
      <c r="E287" s="16"/>
      <c r="F287" s="21" t="s">
        <v>56</v>
      </c>
      <c r="G287" s="21" t="s">
        <v>269</v>
      </c>
      <c r="H287" s="29">
        <v>46304</v>
      </c>
      <c r="I287" s="21" t="s">
        <v>274</v>
      </c>
      <c r="J287" s="21" t="s">
        <v>274</v>
      </c>
      <c r="K287" s="23">
        <f t="shared" si="8"/>
        <v>46669</v>
      </c>
      <c r="L287" s="21" t="s">
        <v>359</v>
      </c>
      <c r="M287" s="30">
        <v>9619562183</v>
      </c>
      <c r="N287" s="31" t="s">
        <v>360</v>
      </c>
      <c r="O287" s="16"/>
      <c r="P287" s="19" t="s">
        <v>283</v>
      </c>
      <c r="Q287" s="24">
        <v>46301</v>
      </c>
    </row>
    <row r="288" spans="1:18" ht="18.75" customHeight="1" x14ac:dyDescent="0.3">
      <c r="A288" s="16">
        <f t="shared" ca="1" si="9"/>
        <v>-353</v>
      </c>
      <c r="B288" s="71" t="b">
        <v>1</v>
      </c>
      <c r="C288" s="21" t="s">
        <v>59</v>
      </c>
      <c r="D288" s="59">
        <v>697.23</v>
      </c>
      <c r="E288" s="26" t="s">
        <v>365</v>
      </c>
      <c r="F288" s="27" t="s">
        <v>6</v>
      </c>
      <c r="G288" s="28" t="s">
        <v>273</v>
      </c>
      <c r="H288" s="29">
        <v>46304</v>
      </c>
      <c r="I288" s="21" t="s">
        <v>828</v>
      </c>
      <c r="J288" s="27" t="s">
        <v>889</v>
      </c>
      <c r="K288" s="23">
        <f t="shared" si="8"/>
        <v>46669</v>
      </c>
      <c r="L288" s="21" t="s">
        <v>309</v>
      </c>
      <c r="M288" s="30" t="s">
        <v>309</v>
      </c>
      <c r="N288" s="19" t="s">
        <v>366</v>
      </c>
      <c r="O288" s="16"/>
      <c r="P288" s="19" t="s">
        <v>749</v>
      </c>
      <c r="Q288" s="24">
        <v>46301</v>
      </c>
      <c r="R288"/>
    </row>
    <row r="289" spans="1:20" ht="18.75" customHeight="1" x14ac:dyDescent="0.25">
      <c r="A289" s="16">
        <f t="shared" ca="1" si="9"/>
        <v>-353</v>
      </c>
      <c r="B289" s="71" t="b">
        <v>1</v>
      </c>
      <c r="C289" s="21" t="s">
        <v>57</v>
      </c>
      <c r="D289" s="58">
        <v>18.350000000000001</v>
      </c>
      <c r="E289" s="16"/>
      <c r="F289" s="21" t="s">
        <v>58</v>
      </c>
      <c r="G289" s="21" t="s">
        <v>294</v>
      </c>
      <c r="H289" s="29">
        <v>46304</v>
      </c>
      <c r="I289" s="21" t="s">
        <v>828</v>
      </c>
      <c r="J289" s="21" t="s">
        <v>278</v>
      </c>
      <c r="K289" s="23">
        <f t="shared" si="8"/>
        <v>46669</v>
      </c>
      <c r="L289" s="21" t="s">
        <v>361</v>
      </c>
      <c r="M289" s="30"/>
      <c r="N289" s="31" t="s">
        <v>362</v>
      </c>
      <c r="O289" s="16"/>
      <c r="P289" s="19" t="s">
        <v>704</v>
      </c>
      <c r="Q289" s="24">
        <v>46301</v>
      </c>
    </row>
    <row r="290" spans="1:20" ht="18.75" customHeight="1" x14ac:dyDescent="0.3">
      <c r="A290" s="16" t="s">
        <v>891</v>
      </c>
      <c r="B290" s="71" t="b">
        <v>0</v>
      </c>
      <c r="C290" s="49" t="s">
        <v>180</v>
      </c>
      <c r="D290" s="58"/>
      <c r="E290" s="16"/>
      <c r="F290" s="21" t="s">
        <v>181</v>
      </c>
      <c r="G290" s="21" t="s">
        <v>273</v>
      </c>
      <c r="H290" s="29"/>
      <c r="I290" s="21" t="s">
        <v>536</v>
      </c>
      <c r="J290" s="21"/>
      <c r="K290" s="23"/>
      <c r="L290" s="21" t="s">
        <v>537</v>
      </c>
      <c r="M290" s="30">
        <v>8086928283</v>
      </c>
      <c r="N290" s="19" t="s">
        <v>538</v>
      </c>
      <c r="O290" s="16"/>
      <c r="P290" s="19"/>
      <c r="Q290" s="24"/>
      <c r="R290" t="s">
        <v>890</v>
      </c>
      <c r="S290"/>
      <c r="T290"/>
    </row>
    <row r="291" spans="1:20" ht="18.75" customHeight="1" x14ac:dyDescent="0.3">
      <c r="A291" s="16" t="s">
        <v>891</v>
      </c>
      <c r="B291" s="71" t="b">
        <v>0</v>
      </c>
      <c r="C291" s="49" t="s">
        <v>161</v>
      </c>
      <c r="D291" s="59">
        <v>54.22</v>
      </c>
      <c r="E291" s="26" t="s">
        <v>508</v>
      </c>
      <c r="F291" s="27" t="s">
        <v>23</v>
      </c>
      <c r="G291" s="28" t="s">
        <v>273</v>
      </c>
      <c r="H291" s="29">
        <v>46045</v>
      </c>
      <c r="I291" s="21" t="s">
        <v>899</v>
      </c>
      <c r="J291" s="21"/>
      <c r="K291" s="23">
        <f>EDATE(H291,12)</f>
        <v>46410</v>
      </c>
      <c r="L291" s="21" t="s">
        <v>327</v>
      </c>
      <c r="M291" s="30">
        <v>9750946966</v>
      </c>
      <c r="N291" s="19" t="s">
        <v>509</v>
      </c>
      <c r="O291" s="16"/>
      <c r="P291" s="19"/>
      <c r="Q291" s="24"/>
      <c r="R291" t="s">
        <v>890</v>
      </c>
    </row>
    <row r="292" spans="1:20" ht="18.75" customHeight="1" x14ac:dyDescent="0.3">
      <c r="A292" s="16" t="s">
        <v>891</v>
      </c>
      <c r="B292" s="71" t="b">
        <v>0</v>
      </c>
      <c r="C292" s="21" t="s">
        <v>32</v>
      </c>
      <c r="D292" s="40">
        <v>72</v>
      </c>
      <c r="E292" s="26">
        <v>45495</v>
      </c>
      <c r="F292" s="33" t="s">
        <v>29</v>
      </c>
      <c r="G292" s="28" t="s">
        <v>273</v>
      </c>
      <c r="H292" s="29"/>
      <c r="I292" s="21" t="s">
        <v>821</v>
      </c>
      <c r="J292" s="21" t="s">
        <v>278</v>
      </c>
      <c r="K292" s="23"/>
      <c r="L292" s="33" t="s">
        <v>327</v>
      </c>
      <c r="M292" s="30">
        <v>9750946966</v>
      </c>
      <c r="N292" s="31" t="s">
        <v>328</v>
      </c>
      <c r="O292" s="16"/>
      <c r="P292" s="19"/>
      <c r="Q292" s="24"/>
      <c r="R292" t="s">
        <v>890</v>
      </c>
    </row>
    <row r="293" spans="1:20" ht="18.75" customHeight="1" x14ac:dyDescent="0.3">
      <c r="A293" s="16" t="s">
        <v>891</v>
      </c>
      <c r="B293" s="71" t="b">
        <v>0</v>
      </c>
      <c r="C293" s="21" t="s">
        <v>905</v>
      </c>
      <c r="D293" s="59">
        <v>150</v>
      </c>
      <c r="E293" s="26">
        <v>45643</v>
      </c>
      <c r="F293" s="27" t="s">
        <v>15</v>
      </c>
      <c r="G293" s="27" t="s">
        <v>296</v>
      </c>
      <c r="H293" s="29">
        <v>46295</v>
      </c>
      <c r="I293" s="27" t="s">
        <v>912</v>
      </c>
      <c r="J293" s="27" t="s">
        <v>913</v>
      </c>
      <c r="K293" s="23">
        <f t="shared" ref="K293:K297" si="10">EDATE(H293,12)</f>
        <v>46660</v>
      </c>
      <c r="L293" s="21" t="s">
        <v>321</v>
      </c>
      <c r="M293" s="30">
        <v>7288895299</v>
      </c>
      <c r="N293" s="19" t="s">
        <v>520</v>
      </c>
      <c r="O293" s="16"/>
      <c r="P293" s="19"/>
      <c r="Q293" s="24"/>
      <c r="R293" t="s">
        <v>890</v>
      </c>
    </row>
    <row r="294" spans="1:20" ht="18.75" customHeight="1" x14ac:dyDescent="0.25">
      <c r="A294" s="16">
        <f ca="1">IF(OR(I294="Withdrawn",R294="Transfer"),"",($A$1-H294)-365)</f>
        <v>-175</v>
      </c>
      <c r="B294" s="71" t="b">
        <v>0</v>
      </c>
      <c r="C294" s="21" t="s">
        <v>900</v>
      </c>
      <c r="D294" s="58"/>
      <c r="E294" s="16"/>
      <c r="F294" s="21" t="s">
        <v>51</v>
      </c>
      <c r="G294" s="21" t="s">
        <v>269</v>
      </c>
      <c r="H294" s="29">
        <v>46126</v>
      </c>
      <c r="I294" s="21" t="s">
        <v>827</v>
      </c>
      <c r="J294" s="21"/>
      <c r="K294" s="23">
        <f t="shared" si="10"/>
        <v>46491</v>
      </c>
      <c r="L294" s="21" t="s">
        <v>562</v>
      </c>
      <c r="M294" s="30" t="s">
        <v>901</v>
      </c>
      <c r="N294" s="31" t="s">
        <v>563</v>
      </c>
      <c r="O294" s="16"/>
      <c r="P294" s="19"/>
      <c r="Q294" s="24"/>
    </row>
    <row r="295" spans="1:20" ht="18.75" customHeight="1" x14ac:dyDescent="0.25">
      <c r="A295" s="16">
        <f ca="1">IF(OR(I295="Withdrawn",R295="Transfer"),"",($A$1-H295)-365)</f>
        <v>-245</v>
      </c>
      <c r="B295" s="71" t="b">
        <v>1</v>
      </c>
      <c r="C295" s="21" t="s">
        <v>902</v>
      </c>
      <c r="D295" s="58">
        <v>40</v>
      </c>
      <c r="E295" s="16"/>
      <c r="F295" s="21" t="s">
        <v>36</v>
      </c>
      <c r="G295" s="21" t="s">
        <v>273</v>
      </c>
      <c r="H295" s="29">
        <v>46196</v>
      </c>
      <c r="I295" s="21" t="s">
        <v>820</v>
      </c>
      <c r="J295" s="21" t="s">
        <v>272</v>
      </c>
      <c r="K295" s="23">
        <f t="shared" si="10"/>
        <v>46561</v>
      </c>
      <c r="L295" s="21" t="s">
        <v>903</v>
      </c>
      <c r="M295" s="30" t="s">
        <v>904</v>
      </c>
      <c r="N295" s="31" t="s">
        <v>687</v>
      </c>
      <c r="O295" s="16"/>
      <c r="P295" s="19"/>
      <c r="Q295" s="24"/>
    </row>
    <row r="296" spans="1:20" ht="18.75" customHeight="1" x14ac:dyDescent="0.25">
      <c r="A296" s="16">
        <f ca="1">IF(OR(I296="Withdrawn",R296="Transfer"),"",($A$1-H296)-365)</f>
        <v>-59</v>
      </c>
      <c r="B296" s="71" t="b">
        <v>0</v>
      </c>
      <c r="C296" s="21" t="s">
        <v>142</v>
      </c>
      <c r="D296" s="58"/>
      <c r="E296" s="16"/>
      <c r="F296" s="21" t="s">
        <v>120</v>
      </c>
      <c r="G296" s="21" t="s">
        <v>269</v>
      </c>
      <c r="H296" s="29">
        <v>46010</v>
      </c>
      <c r="I296" s="21" t="s">
        <v>827</v>
      </c>
      <c r="J296" s="21"/>
      <c r="K296" s="23">
        <f t="shared" si="10"/>
        <v>46375</v>
      </c>
      <c r="L296" s="21" t="s">
        <v>482</v>
      </c>
      <c r="M296" s="30" t="s">
        <v>908</v>
      </c>
      <c r="N296" s="31" t="s">
        <v>909</v>
      </c>
      <c r="O296" s="16"/>
      <c r="P296" s="19"/>
      <c r="Q296" s="24"/>
    </row>
    <row r="297" spans="1:20" ht="18.75" customHeight="1" x14ac:dyDescent="0.25">
      <c r="A297" s="16">
        <f ca="1">IF(OR(I297="Withdrawn",R297="Transfer"),"",($A$1-H297)-365)</f>
        <v>-62</v>
      </c>
      <c r="B297" s="71" t="b">
        <v>0</v>
      </c>
      <c r="C297" s="21" t="s">
        <v>910</v>
      </c>
      <c r="D297" s="58">
        <v>14</v>
      </c>
      <c r="E297" s="16"/>
      <c r="F297" s="21" t="s">
        <v>65</v>
      </c>
      <c r="G297" s="21" t="s">
        <v>298</v>
      </c>
      <c r="H297" s="29">
        <v>46013</v>
      </c>
      <c r="I297" s="21" t="s">
        <v>828</v>
      </c>
      <c r="J297" s="21" t="s">
        <v>278</v>
      </c>
      <c r="K297" s="23">
        <f t="shared" si="10"/>
        <v>46378</v>
      </c>
      <c r="L297" s="21" t="s">
        <v>484</v>
      </c>
      <c r="M297" s="30" t="s">
        <v>911</v>
      </c>
      <c r="N297" s="31" t="s">
        <v>485</v>
      </c>
      <c r="O297" s="16"/>
      <c r="P297" s="19"/>
      <c r="Q297" s="24"/>
    </row>
  </sheetData>
  <autoFilter ref="A1:R293" xr:uid="{00000000-0001-0000-0000-000000000000}">
    <sortState xmlns:xlrd2="http://schemas.microsoft.com/office/spreadsheetml/2017/richdata2" ref="A2:R293">
      <sortCondition ref="H1:H293"/>
    </sortState>
  </autoFilter>
  <phoneticPr fontId="2" type="noConversion"/>
  <conditionalFormatting sqref="I2:J264 I1 I215:I278 H261:H278 H279:I280 I281:I290 H291:I291 I292:I1048576">
    <cfRule type="containsText" dxfId="5" priority="2" operator="containsText" text="BBB">
      <formula>NOT(ISERROR(SEARCH("BBB",H1)))</formula>
    </cfRule>
  </conditionalFormatting>
  <conditionalFormatting sqref="J261:J264 J264:K268 L6:N6 K2:K1048576">
    <cfRule type="expression" dxfId="4" priority="7">
      <formula>IF(J2="",,J2-$O$1&lt;=60)</formula>
    </cfRule>
  </conditionalFormatting>
  <conditionalFormatting sqref="L6:N6 J261:J264 J264:K268 K2:K1048576">
    <cfRule type="expression" dxfId="3" priority="1">
      <formula>IF(J2="",,J2-$O$1&lt;=30)</formula>
    </cfRule>
  </conditionalFormatting>
  <conditionalFormatting sqref="L263:L264">
    <cfRule type="expression" dxfId="2" priority="8">
      <formula>IF(#REF!="",,#REF!-$O$1&lt;=90)</formula>
    </cfRule>
  </conditionalFormatting>
  <dataValidations count="2">
    <dataValidation type="list" allowBlank="1" showInputMessage="1" showErrorMessage="1" sqref="J251 I171:I1048576" xr:uid="{13434AC9-1B8E-470B-A3CA-5812795CB26E}">
      <formula1>$U$2:$U$15</formula1>
    </dataValidation>
    <dataValidation type="list" allowBlank="1" showInputMessage="1" showErrorMessage="1" sqref="J171:J250 J252:J1048576" xr:uid="{3C906F77-FACF-4F45-B2AB-D5A356C4234F}">
      <formula1>$V$2:$V$7</formula1>
    </dataValidation>
  </dataValidations>
  <hyperlinks>
    <hyperlink ref="N48" r:id="rId1" display="financedirector@pushpagiri.in" xr:uid="{6A7A4F39-600C-43B2-A152-D514D86D177E}"/>
    <hyperlink ref="N55" r:id="rId2" display="satyam@etomotors.com" xr:uid="{04FDD3E5-80CE-4B0E-BFC0-131EE0CA4F00}"/>
    <hyperlink ref="N76" r:id="rId3" display="gaurav.vora@laxmidiajewel.com" xr:uid="{ECBF8AB1-35B8-491A-844F-860A3BA0F346}"/>
    <hyperlink ref="N291" r:id="rId4" display="gsk.sivaguruspgm@gmail.com" xr:uid="{FB20F215-E54F-4833-8348-72B9BB37B193}"/>
    <hyperlink ref="N86" r:id="rId5" display="cs.uditinfraworld@gmail.com" xr:uid="{7771851D-3DA8-4B8A-8CFB-51AC0006B386}"/>
    <hyperlink ref="N257" r:id="rId6" tooltip="mailto:bdm@apipl.co.in" display="mailto:bdm@apipl.co.in" xr:uid="{3E8555F7-4642-4D6E-8EED-8A9D7396B911}"/>
    <hyperlink ref="N117" r:id="rId7" tooltip="mailto:skkumarco@gmail.com" display="mailto:skkumarco@gmail.com" xr:uid="{6CED87D4-49DC-49E1-B966-02E5305DF1BD}"/>
    <hyperlink ref="N118" r:id="rId8" tooltip="mailto:ronitp@radiusdevelopers.com',%20'mehulk@radiusdevelopers.com" display="mailto:ronitp@radiusdevelopers.com', 'mehulk@radiusdevelopers.com" xr:uid="{E4C60950-73D8-4942-80FD-6148747C43C2}"/>
    <hyperlink ref="N145" r:id="rId9" tooltip="mailto:ravindracallacpoly@gmail.com" display="mailto:ravindracallacpoly@gmail.com" xr:uid="{DB9F05FE-1EDC-47E3-A905-67E67485F326}"/>
    <hyperlink ref="N137" r:id="rId10" tooltip="mailto:r.tiwari@sidpl.in" display="mailto:r.tiwari@sidpl.in" xr:uid="{D381E2FD-6212-40B5-964A-DB9EBB8F81CB}"/>
    <hyperlink ref="N25" r:id="rId11" display="accounts@polarisliquor.com, santoshwagleicedd@gmail.com" xr:uid="{C19B8788-29A6-4CFF-BB2C-334057C5BC38}"/>
    <hyperlink ref="N26" r:id="rId12" display="raghava.constructions@gmail.com" xr:uid="{B3BF481E-86B1-43B2-88A7-3E9001A51D9F}"/>
    <hyperlink ref="N32" r:id="rId13" display="'shree_ramcotton@yahoo.com'" xr:uid="{FEED1788-40A9-40C5-95B2-4DD85A081677}"/>
    <hyperlink ref="N33" r:id="rId14" display="sivasaiexports@yahoo.com" xr:uid="{03D5CA0A-EE0F-4699-A096-A7B0912848F2}"/>
    <hyperlink ref="N79" r:id="rId15" display="idff.rm@gmail.com" xr:uid="{86E80101-E7D9-4C52-903E-701303908D45}"/>
    <hyperlink ref="N138" r:id="rId16" display="rajendra.yadav@sayyaminvestments.in" xr:uid="{2622A825-50FF-4B5E-B1A5-AB576C3B7329}"/>
    <hyperlink ref="N256" r:id="rId17" display="sk@dcxindia.com" xr:uid="{F5C9EF7A-2580-441E-9276-2BCC670712CF}"/>
    <hyperlink ref="N248" r:id="rId18" display="accounts@melzerspeciality.com" xr:uid="{E58D0218-98EC-4632-BA4E-97DE1A1FEDAD}"/>
    <hyperlink ref="N195" r:id="rId19" display="kgoibhainsa@gmail.com" xr:uid="{8AC62079-F7A5-450B-8216-A4EA9903B8EF}"/>
    <hyperlink ref="N193" r:id="rId20" tooltip="mailto:accounts@pristinecommercials.com" display="mailto:accounts@pristinecommercials.com" xr:uid="{FB686AB4-7F9C-4A72-9288-E7232671009F}"/>
    <hyperlink ref="N171" r:id="rId21" xr:uid="{D979688C-5B4E-4EE7-B66A-B257E697A843}"/>
    <hyperlink ref="N197" r:id="rId22" xr:uid="{3267EE90-9A1D-4BC4-8209-CA1C558406A5}"/>
    <hyperlink ref="N15" r:id="rId23" xr:uid="{3BF63304-0FAD-4CC9-80E9-285D71D7B720}"/>
    <hyperlink ref="N210" r:id="rId24" xr:uid="{EA2E8DAC-90CC-418F-BE9E-ABAEB0E49C9D}"/>
    <hyperlink ref="N196" r:id="rId25" xr:uid="{7D3AF662-4882-4E20-9549-E9F4273AB792}"/>
    <hyperlink ref="N105" r:id="rId26" xr:uid="{C448ADF5-5758-4FBB-BEA8-B9976A26A34D}"/>
    <hyperlink ref="N52" r:id="rId27" xr:uid="{ED83EC36-5A44-4B3F-B449-9BA92D68E850}"/>
    <hyperlink ref="N216" r:id="rId28" xr:uid="{BAAC405D-C349-4A14-8101-FDAE434920DC}"/>
    <hyperlink ref="N106" r:id="rId29" xr:uid="{130DA1F1-5D6C-4E31-82F8-3E7EFDB0248A}"/>
    <hyperlink ref="N5" r:id="rId30" xr:uid="{C8169307-170E-4F96-B0EE-68500BEC3307}"/>
    <hyperlink ref="N231" r:id="rId31" xr:uid="{D0A9EC3B-5C9C-442C-B73F-B894C45C8EA4}"/>
    <hyperlink ref="N72" r:id="rId32" xr:uid="{69FC9387-FC53-4F71-BBDD-758748A26F55}"/>
    <hyperlink ref="N73" r:id="rId33" xr:uid="{8F2B79DA-EB3A-4C17-A247-6414978D1CC3}"/>
    <hyperlink ref="N74" r:id="rId34" xr:uid="{103A85FB-2A30-4204-81AC-8F7CDD9B5A02}"/>
    <hyperlink ref="N70" r:id="rId35" xr:uid="{8F1841DC-4136-4001-918F-CE838695105A}"/>
    <hyperlink ref="N2" r:id="rId36" xr:uid="{AF823AFC-6B79-404C-8BFF-16811867BF80}"/>
    <hyperlink ref="N144" r:id="rId37" xr:uid="{EEE2292F-725E-4112-A9A5-8C73E82345CA}"/>
    <hyperlink ref="N53" r:id="rId38" xr:uid="{50CDD80B-03AE-4267-BDB9-E93DE5C5176D}"/>
    <hyperlink ref="N200" r:id="rId39" xr:uid="{DADD6E06-E8DE-4079-A24A-78934E656A9A}"/>
    <hyperlink ref="N199" r:id="rId40" xr:uid="{57C18B06-12AF-4C1A-832C-0470AD51C9FE}"/>
    <hyperlink ref="N211" r:id="rId41" xr:uid="{731156E3-0264-43F5-969C-73923965ABC9}"/>
    <hyperlink ref="N209" r:id="rId42" xr:uid="{94768978-FECD-42AD-88EE-60578F79DC30}"/>
    <hyperlink ref="N249" r:id="rId43" xr:uid="{F00E06ED-C276-480C-99E8-C70075C33A3F}"/>
    <hyperlink ref="N251" r:id="rId44" xr:uid="{50DDD5E5-A7F9-4401-B219-8AF1BD4DCCC6}"/>
    <hyperlink ref="N139" r:id="rId45" xr:uid="{58FFA0E4-E803-41DA-B4E9-7C290EC7A666}"/>
    <hyperlink ref="N88" r:id="rId46" xr:uid="{466839C6-B7B5-42C1-8832-24955FB34A65}"/>
    <hyperlink ref="N87" r:id="rId47" xr:uid="{BFB4EA79-0317-4C00-AD04-DD2EBC81C768}"/>
    <hyperlink ref="N97" r:id="rId48" xr:uid="{B597D828-96F1-4E17-8D33-B391C892879A}"/>
    <hyperlink ref="N96" r:id="rId49" xr:uid="{5406A68F-ED2D-4958-A5C9-38F16E08B0BD}"/>
    <hyperlink ref="N56" r:id="rId50" xr:uid="{E955B623-3605-4524-A958-AF4ACC288504}"/>
    <hyperlink ref="N42" r:id="rId51" xr:uid="{52F3B6B3-3685-459D-BC02-92C6896153EA}"/>
    <hyperlink ref="N24" r:id="rId52" xr:uid="{23050548-7BCF-4486-AEDF-0DA05E12DD3D}"/>
    <hyperlink ref="N289" r:id="rId53" xr:uid="{6263C693-9AA4-4302-B179-E2AC0C13EACC}"/>
    <hyperlink ref="N212" r:id="rId54" xr:uid="{BA65F477-71EF-456E-A9F9-BCCE8F2CA232}"/>
    <hyperlink ref="N67" r:id="rId55" xr:uid="{F6A522E0-A9FE-4A66-96E2-1012CF944235}"/>
    <hyperlink ref="N270" r:id="rId56" xr:uid="{1DD7F2A7-DE16-4520-8696-D56164AAF8F8}"/>
    <hyperlink ref="N19" r:id="rId57" xr:uid="{03F4E3A1-AB68-490F-A5A4-327147B5A6F7}"/>
    <hyperlink ref="N281" r:id="rId58" xr:uid="{911808D4-8441-465F-9A04-CEF3FAF54419}"/>
    <hyperlink ref="N69" r:id="rId59" xr:uid="{7E8BC596-1F46-49A8-B1C0-95C6726B4EB4}"/>
    <hyperlink ref="N190" r:id="rId60" xr:uid="{24AF15A7-F5A0-420C-AE83-E4D2F9E8D410}"/>
    <hyperlink ref="N204" r:id="rId61" display="bhartifood2016@gmail.com        sachani.peeyush@gmail.com" xr:uid="{F66B65BD-AB33-4878-864E-0D49E8A13772}"/>
    <hyperlink ref="N205" r:id="rId62" xr:uid="{3CE7573A-5925-4905-923E-ECEBB36784D6}"/>
    <hyperlink ref="N89" r:id="rId63" xr:uid="{4C002EDB-D626-4B60-9B99-728527014A59}"/>
    <hyperlink ref="N68" r:id="rId64" xr:uid="{754D831D-98C6-4C7E-A983-4EA98B88FAD8}"/>
    <hyperlink ref="N123" r:id="rId65" xr:uid="{7DCD4E7B-3511-4C5A-A602-D45D9E7C2FBF}"/>
    <hyperlink ref="N184" r:id="rId66" xr:uid="{78AE4091-1795-4332-BE51-54ADC7A49FC7}"/>
    <hyperlink ref="N109" r:id="rId67" xr:uid="{A76C2ACE-5906-480A-96D3-CE8A84BEEF07}"/>
    <hyperlink ref="N78" r:id="rId68" xr:uid="{42E5E706-C2F4-4C16-A057-C78EA1AC1210}"/>
    <hyperlink ref="N59" r:id="rId69" xr:uid="{BCCA65E9-FDF5-4844-B0DF-D7707761FC1F}"/>
    <hyperlink ref="N3" r:id="rId70" xr:uid="{D9352277-A11C-4153-ADC5-DDA8B31D2A01}"/>
    <hyperlink ref="N4" r:id="rId71" xr:uid="{C1283FA9-5DA6-4D21-8D62-A634CCDDD91A}"/>
    <hyperlink ref="N142" r:id="rId72" xr:uid="{9CF095DB-29FF-4602-BE36-DEA7E517F358}"/>
    <hyperlink ref="N141" r:id="rId73" xr:uid="{A33463BF-87AF-4E26-8D8B-624A8FD75371}"/>
    <hyperlink ref="N160" r:id="rId74" tooltip="mailto:acsridatia@gmail.com" display="mailto:acsridatia@gmail.com" xr:uid="{8A64453D-78A2-4D12-BE38-AB75149DD532}"/>
    <hyperlink ref="N161" r:id="rId75" tooltip="mailto:gkumarbmw@gmail.com" display="mailto:gkumarbmw@gmail.com" xr:uid="{F95D9EF4-4193-49E2-8B34-A042F31C4274}"/>
    <hyperlink ref="N158" r:id="rId76" tooltip="mailto:Mahesh.petluru@bfgindia.com" display="mailto:Mahesh.petluru@bfgindia.com" xr:uid="{4A4D8B4E-E323-4B68-B4A1-F1A00188A9E4}"/>
    <hyperlink ref="N159" r:id="rId77" tooltip="mailto:rupali.wanarase@cfmarc.in" display="mailto:rupali.wanarase@cfmarc.in" xr:uid="{9275245E-FFE6-47F3-81A5-823BE2ABDE9E}"/>
    <hyperlink ref="N250" r:id="rId78" tooltip="mailto:jayambermc662018@gmail.com" display="mailto:jayambermc662018@gmail.com" xr:uid="{CC719691-9292-45EC-BF86-133685F5711F}"/>
    <hyperlink ref="N253" r:id="rId79" tooltip="mailto:account@shilp.co.in" display="mailto:account@shilp.co.in" xr:uid="{804E283C-076F-4902-8BE6-6C3A1128DF2E}"/>
    <hyperlink ref="N259" r:id="rId80" tooltip="mailto:sales@creaativepowertech.com" display="mailto:sales@creaativepowertech.com" xr:uid="{EC58C511-0072-49B3-8565-BDDA4A511779}"/>
    <hyperlink ref="N23" r:id="rId81" tooltip="mailto:santoshwagleicedd@gmail.com" display="mailto:santoshwagleicedd@gmail.com" xr:uid="{B2F58D83-4258-4C8B-949D-DEE02961DB24}"/>
    <hyperlink ref="N37" r:id="rId82" tooltip="mailto:account@rkcotspin.com" display="mailto:account@rkcotspin.com" xr:uid="{DD8224A7-EDC6-455E-AE88-61087CD86FBC}"/>
    <hyperlink ref="N41" r:id="rId83" tooltip="mailto:%09skkunimbhora@rediffmail.com" display="mailto:%09skkunimbhora@rediffmail.com" xr:uid="{B609B6AD-F581-45E5-9084-2DAFCD2E56E8}"/>
    <hyperlink ref="N61" r:id="rId84" tooltip="mailto:accounts@iitanspace.com" display="mailto:accounts@iitanspace.com" xr:uid="{4337937F-C8FC-4AB5-A12D-F0D12AF942E2}"/>
    <hyperlink ref="N98" r:id="rId85" tooltip="mailto:mangesha@womindia.com" display="mailto:mangesha@womindia.com" xr:uid="{F5F52A8C-AA18-47E6-84C7-093629B09FD3}"/>
    <hyperlink ref="N213" r:id="rId86" tooltip="mailto:cs@prateekapparels.com" display="mailto:cs@prateekapparels.com" xr:uid="{DA82B848-9364-400E-995B-7A51C7BC1826}"/>
    <hyperlink ref="N283" r:id="rId87" tooltip="mailto:mtfextrusions@gmail.com" display="mailto:mtfextrusions@gmail.com" xr:uid="{C9181627-4C16-4F65-BC20-EE0AEABF2AB6}"/>
    <hyperlink ref="N13" r:id="rId88" tooltip="mailto:cspl2005@yahoo.com" display="mailto:cspl2005@yahoo.com" xr:uid="{B01C6FB8-142B-470D-BE6D-BA21C10F2C19}"/>
    <hyperlink ref="N14" r:id="rId89" tooltip="mailto:narsimhairon@gmail.com" display="mailto:narsimhairon@gmail.com" xr:uid="{86104605-22B2-4988-81EF-F9D87B50BFFB}"/>
    <hyperlink ref="N65" r:id="rId90" tooltip="mailto:tirumalatirupatiricemill.ada@gmail.com" display="mailto:tirumalatirupatiricemill.ada@gmail.com" xr:uid="{8617540B-EBEA-47D3-9873-65B796D1300F}"/>
    <hyperlink ref="N246:N247" r:id="rId91" display="aidplindore@gmail.com" xr:uid="{E1F548BD-0B67-49C2-9C9C-7213A7CD6AA3}"/>
    <hyperlink ref="N173" r:id="rId92" xr:uid="{C69DC876-405F-4881-A1C1-57FC92D21694}"/>
    <hyperlink ref="N126" r:id="rId93" display="hemasundar.t@kmcgroup.co.in" xr:uid="{46A83935-FDC5-4727-B837-3988D5736B64}"/>
    <hyperlink ref="N185" r:id="rId94" xr:uid="{5FAE06C2-CCDC-46C3-8AE3-E5529E0FFB25}"/>
    <hyperlink ref="N63" r:id="rId95" xr:uid="{8C3B2C13-044E-4219-AC98-52B46796AB4A}"/>
    <hyperlink ref="N140" r:id="rId96" xr:uid="{E005CDBB-01BB-41D2-9975-D99121D2F0AC}"/>
    <hyperlink ref="N154" r:id="rId97" xr:uid="{17B1E31B-B97C-4950-8D8A-146FDBABA76A}"/>
    <hyperlink ref="N127" r:id="rId98" xr:uid="{CF6A17E4-CC59-495F-94DE-6732E9732728}"/>
    <hyperlink ref="N39" r:id="rId99" xr:uid="{0B3400E9-1A73-4171-AE6E-4C9FE1B9307E}"/>
    <hyperlink ref="N95" r:id="rId100" xr:uid="{079EDC8F-C3D5-4AA7-995D-A3B2ED7347C0}"/>
    <hyperlink ref="N115" r:id="rId101" xr:uid="{1711A208-D3FC-49BE-9B20-918996B44427}"/>
    <hyperlink ref="N94" r:id="rId102" xr:uid="{552A5B1C-A8AE-4E38-A7C1-0F512A9FF77A}"/>
    <hyperlink ref="N35" r:id="rId103" xr:uid="{3F05F691-3B93-4EAC-91B0-0028D757867F}"/>
    <hyperlink ref="N280" r:id="rId104" xr:uid="{5505E0B2-0F91-4A70-A3FC-36F93CA6A045}"/>
    <hyperlink ref="N223" r:id="rId105" xr:uid="{E1380394-EE51-4A3C-8074-C5CAA6B31E7C}"/>
    <hyperlink ref="N129" r:id="rId106" xr:uid="{31117E58-53CB-46B9-A690-008D72C79213}"/>
    <hyperlink ref="N112" r:id="rId107" xr:uid="{06985C3E-25B4-4525-A97E-B64F31F900ED}"/>
    <hyperlink ref="N149" r:id="rId108" xr:uid="{200592EF-643F-46A5-A198-D48FA8F6A12C}"/>
    <hyperlink ref="N169" r:id="rId109" xr:uid="{6E2709E9-0DA1-4056-A4AC-4AAA4083C2AC}"/>
    <hyperlink ref="N150" r:id="rId110" xr:uid="{1C9AD5FA-0AC9-4333-851E-E813AC7292D2}"/>
    <hyperlink ref="N43" r:id="rId111" xr:uid="{59A71F09-6FAC-4E3E-9E05-0F992B467FD2}"/>
    <hyperlink ref="N125" r:id="rId112" xr:uid="{9D322ED0-7BE1-4FB3-A19B-3CFA9966FE49}"/>
    <hyperlink ref="N156:N157" r:id="rId113" display="aidplindore@gmail.com" xr:uid="{5165358A-7DF7-4400-80CC-5FE916508446}"/>
    <hyperlink ref="N75" r:id="rId114" xr:uid="{E5A53038-2A2A-46E6-9AD3-A058AC90A364}"/>
    <hyperlink ref="N179" r:id="rId115" xr:uid="{732BA129-BFCB-4C5C-9694-CA386E78BB32}"/>
    <hyperlink ref="N180" r:id="rId116" xr:uid="{F6E7AC84-EC41-45C5-8C9D-F5358994ADE8}"/>
    <hyperlink ref="N178" r:id="rId117" xr:uid="{2137705C-01F2-4013-B6EA-74C6CF11CE65}"/>
    <hyperlink ref="N155" r:id="rId118" xr:uid="{5C546EE7-4D72-48DB-A48C-8BAD2504C860}"/>
    <hyperlink ref="N156" r:id="rId119" xr:uid="{B8C07F92-F2D6-4CA3-8FBA-A79D8EF7C917}"/>
    <hyperlink ref="N162" r:id="rId120" xr:uid="{16FDA4D9-0EE8-4390-B565-279D44B3D8C9}"/>
    <hyperlink ref="N252" r:id="rId121" xr:uid="{CD58D923-A8BA-4C37-B8A1-61BA9BEB202E}"/>
    <hyperlink ref="N170" r:id="rId122" xr:uid="{51152D2F-E73D-41B1-BE8B-2DD78B923BA6}"/>
    <hyperlink ref="N172" r:id="rId123" xr:uid="{10F5D008-69D8-4AD7-8728-9E4169AF704D}"/>
    <hyperlink ref="N174" r:id="rId124" xr:uid="{F9621338-CFAF-4D93-9562-F55BD3BD8F89}"/>
    <hyperlink ref="N175" r:id="rId125" xr:uid="{70C3A029-0F29-423A-9793-C28C1FBA7071}"/>
    <hyperlink ref="N122" r:id="rId126" xr:uid="{C905A5D5-BAF6-4906-A2DC-A880DF8D966C}"/>
    <hyperlink ref="N121" r:id="rId127" xr:uid="{DB331930-A473-4611-B92C-8C3E36B68A55}"/>
    <hyperlink ref="N124" r:id="rId128" xr:uid="{06AA8560-370D-4317-83CB-750597AB4760}"/>
    <hyperlink ref="N46" r:id="rId129" xr:uid="{FA876DC1-2B4F-4DFD-80DF-EFFF7693680D}"/>
    <hyperlink ref="N99" r:id="rId130" xr:uid="{1DDD833A-6D50-4B1F-B0D6-F71B5ED23FB2}"/>
    <hyperlink ref="N45" r:id="rId131" xr:uid="{CD351C65-9E81-4AB2-8765-86787B21BC33}"/>
    <hyperlink ref="N64" r:id="rId132" xr:uid="{A0B6073B-E224-4F52-BCC9-C83506454AEA}"/>
    <hyperlink ref="N113" r:id="rId133" xr:uid="{752C2C55-E7DB-4ED8-8FD2-709F4419D0A7}"/>
    <hyperlink ref="N151" r:id="rId134" xr:uid="{2D4AF78E-EFDC-4D7D-88BF-0698707BB9B5}"/>
    <hyperlink ref="N287" r:id="rId135" xr:uid="{F7D2A9C5-C311-4962-A377-0CA83C3E5A76}"/>
    <hyperlink ref="N38" r:id="rId136" display="mailto:jathargroup@rediffmail.com" xr:uid="{D8A9F9CA-B03D-4342-AE75-960A2288BAEA}"/>
    <hyperlink ref="N183" r:id="rId137" display="mailto:gmf@sentiniflopipes.com" xr:uid="{CAFDF90A-2974-4EE9-9241-75A7CE8356C5}"/>
    <hyperlink ref="N66" r:id="rId138" display="mailto:jaihindfeeds@gmail.com" xr:uid="{D76D8C5F-E325-466E-BE05-A71D8D460166}"/>
    <hyperlink ref="N284" r:id="rId139" display="mailto:Charmey.shah@nisaeye.com" xr:uid="{C96521FE-9397-45F0-A0B6-DC2075164257}"/>
    <hyperlink ref="N186" r:id="rId140" display="mailto:abhay@piotex.in" xr:uid="{8D268317-D5F0-446C-844A-83F451122515}"/>
    <hyperlink ref="N71" r:id="rId141" display="mailto:ac1@sarnachemicals.com" xr:uid="{9CD3AC91-3BDC-4AA1-ADFC-7B8933252510}"/>
    <hyperlink ref="N264" r:id="rId142" xr:uid="{2FDCDF5B-998C-41C6-BBCA-179718332FF2}"/>
    <hyperlink ref="N201" r:id="rId143" tooltip="mailto:shreeramresins@gmail.com" display="mailto:shreeramresins@gmail.com" xr:uid="{C26E68B1-D093-4402-A37C-FC269F4BD197}"/>
    <hyperlink ref="N192" r:id="rId144" tooltip="mailto:singhpappu41@gmail.com" display="mailto:singhpappu41@gmail.com" xr:uid="{4A9332FD-CBC0-4EAD-80CC-DF9799173EDC}"/>
    <hyperlink ref="N181" r:id="rId145" tooltip="mailto:yogeshwarn@radiusdevelopers.com" display="mailto:yogeshwarn@radiusdevelopers.com" xr:uid="{292B20AD-2796-4F98-AB68-F2184F342506}"/>
    <hyperlink ref="N202" r:id="rId146" display="vinay@sianinfra.com" xr:uid="{B32F70A6-EDD6-4A91-A00B-BB775796A649}"/>
    <hyperlink ref="N208" r:id="rId147" display="umesh@adhikarindia.org" xr:uid="{45242112-95BF-4188-B646-B75D7A8646FC}"/>
    <hyperlink ref="N292" r:id="rId148" display="gsk.sivaguruspgm@gmail.com" xr:uid="{B9E97310-9FF3-4C83-A91E-7DAFD8416F53}"/>
    <hyperlink ref="N263" r:id="rId149" display="aparna@premierenergies.com" xr:uid="{FC60E2F2-BDA7-4DB1-81BE-0F0BDF294B61}"/>
    <hyperlink ref="N262" r:id="rId150" display="gaurav.vora@laxmidiajewel.com" xr:uid="{617D1B8A-BE12-4BC5-B2D7-93570E9566AD}"/>
    <hyperlink ref="N247" r:id="rId151" display="satyam@etomotors.com" xr:uid="{632E2C5B-2503-4D5F-923E-555BFED17993}"/>
    <hyperlink ref="N27" r:id="rId152" display="'archit@ruparel.in'" xr:uid="{B74D3767-93E2-4F16-A596-5D1B95C16BA7}"/>
    <hyperlink ref="N165" r:id="rId153" tooltip="mailto:bbc@adityagroup.co" display="mailto:bbc@adityagroup.co" xr:uid="{6AFB5046-EE5A-4D08-B071-9D75BDFCC20C}"/>
    <hyperlink ref="N110" r:id="rId154" tooltip="mailto:spinoratiles.acc@gmail.com" display="mailto:spinoratiles.acc@gmail.com" xr:uid="{F7691674-B8E5-46BF-92EA-FA7F63E38C39}"/>
    <hyperlink ref="N189" r:id="rId155" display="cs.uditinfraworld@gmail.com" xr:uid="{381569E0-CBBF-41BB-B437-D1F1D4652ECF}"/>
    <hyperlink ref="N267" r:id="rId156" display="cs.uditinfraworld@gmail.com" xr:uid="{F6572C7E-DD52-4FD6-9D7F-D4C1EB5D36A9}"/>
    <hyperlink ref="N266" r:id="rId157" display="cs.uditinfraworld@gmail.com" xr:uid="{DC9C5FF3-130D-4D63-B4BA-56D3D09FBCEB}"/>
    <hyperlink ref="N30" r:id="rId158" display="'rajg@smgroup.co.in'; 'smniryat@smgroup.co.in'" xr:uid="{36782C4C-7D75-48EA-9353-F9D81F1799F4}"/>
    <hyperlink ref="N22" r:id="rId159" display="'rajg@smgroup.co.in'" xr:uid="{EFF5FBCE-1E2E-47E3-8054-B76072B6A8F6}"/>
    <hyperlink ref="N21" r:id="rId160" display="pooja@nikhiladhesives.com; chandrahas.salian@nikhiladhesives.com and raju.sanghavi@nikhiladhesives.com" xr:uid="{72F47633-FCD4-44C9-A3A2-8990D63E9CB5}"/>
    <hyperlink ref="N153" r:id="rId161" tooltip="mailto:sghosh@ewgroup.in" display="mailto:sghosh@ewgroup.in" xr:uid="{B4DEC7E3-0413-4CF7-8B86-F71D7B5C506D}"/>
    <hyperlink ref="N147" r:id="rId162" tooltip="mailto:pf@pkmg.co.in" display="mailto:pf@pkmg.co.in" xr:uid="{3AD5C3AC-FE6D-43DF-A628-42CA5FB3A30B}"/>
    <hyperlink ref="N146" r:id="rId163" tooltip="mailto:grvmht10@gmail.com,%20ayush@ayushandassociates.com" display="mailto:grvmht10@gmail.com, ayush@ayushandassociates.com" xr:uid="{5AA0072A-AC7A-4BA4-9897-C19E9042CDFC}"/>
    <hyperlink ref="N51" r:id="rId164" display="sachin.t@cmll.in" xr:uid="{C4C11A09-EA33-4B5D-B4A9-A64359EBECB0}"/>
    <hyperlink ref="N226" r:id="rId165" display="iqramicrofinancefederation@gmail.com " xr:uid="{0C014792-5D5B-45FD-9974-9F5EA56AC4A9}"/>
    <hyperlink ref="N239" r:id="rId166" display="cs.uditinfraworld@gmail.com" xr:uid="{B241FD90-47A7-462C-8EAD-027CE658DCDB}"/>
    <hyperlink ref="N236" r:id="rId167" display="sachin.t@cmll.in" xr:uid="{FA0DF2D8-FBA7-44AF-95D1-C2FC7DA93525}"/>
    <hyperlink ref="N246" r:id="rId168" display="pvandana@shonan.co.in" xr:uid="{BA1522B9-E5AA-48B4-8AC8-F9E45B0A1077}"/>
    <hyperlink ref="N237" r:id="rId169" display="sudha@brightpackaging.in" xr:uid="{C85ED464-C847-44D8-AF63-A4B80B09D71A}"/>
    <hyperlink ref="N242" r:id="rId170" display="neelameena@rediffmail.com" xr:uid="{5406ACD7-8AF2-49D4-80CC-773BE4DA9513}"/>
    <hyperlink ref="N240" r:id="rId171" display="simita@vfscapital.in" xr:uid="{12B1EDB3-E0A5-4C40-9870-8CF0DC596018}"/>
    <hyperlink ref="N243" r:id="rId172" display="swadhafinlease@gmail.com" xr:uid="{B0A1C0C0-BC59-48C9-BF10-7BA63E3443F7}"/>
    <hyperlink ref="N18" r:id="rId173" display="'rajesh@mitsumidistribution.com'" xr:uid="{CA86CA8D-1B24-4655-9085-CE93725AD101}"/>
    <hyperlink ref="N10" r:id="rId174" xr:uid="{B8620CF5-2753-479E-9F76-76EE3216E9AB}"/>
    <hyperlink ref="N288" r:id="rId175" display="agson@agsonglobal.com; finance@agsonglobal.com" xr:uid="{5F510339-84FB-408B-A9DC-D7772BCF9C8C}"/>
    <hyperlink ref="N148" r:id="rId176" tooltip="mailto:account@girnarindustries.com" display="mailto:account@girnarindustries.com" xr:uid="{8EAB7076-B165-4A66-BB5D-AB83E676FE5E}"/>
    <hyperlink ref="N164" r:id="rId177" tooltip="mailto:ranjeetha@pressmach.com,%20compliance@pressmach.com,%20sunilkumar@pressmach.com" display="mailto:ranjeetha@pressmach.com, compliance@pressmach.com, sunilkumar@pressmach.com" xr:uid="{3100FC00-7E0D-4E7C-A00D-A8FCC410A73F}"/>
    <hyperlink ref="N163" r:id="rId178" tooltip="mailto:akash_nangia@sislinfotech.com,%20rohit_garg@sislinfotech.com,%20ranjeet_yadav@sislinfotech.com,%20hemant_chansoriya@sislinfotech.com" display="mailto:akash_nangia@sislinfotech.com, rohit_garg@sislinfotech.com, ranjeet_yadav@sislinfotech.com, hemant_chansoriya@sislinfotech.com" xr:uid="{CC967A83-5678-4717-ABC5-6D75AF745C66}"/>
    <hyperlink ref="N49" r:id="rId179" display="gsr@klsrinfratech.com" xr:uid="{96559627-0914-4A8B-8F7C-AD27C6CA86B3}"/>
    <hyperlink ref="N47" r:id="rId180" display="sk@dcxindia.com" xr:uid="{86B404CA-FAC1-4B31-95BB-4B98D8E0C0D1}"/>
    <hyperlink ref="N207" r:id="rId181" display="mailto:gundmishanker@gmail.com" xr:uid="{0C064CB5-F2A5-4981-A1D5-16FC08102D4F}"/>
    <hyperlink ref="N254" r:id="rId182" display="mailto:punitha@pgpgroups.com%20/%20pgpfinance@pgpgroups.com" xr:uid="{679BDB3E-42D7-48D3-B211-6B5158507305}"/>
    <hyperlink ref="N54" r:id="rId183" display="mailto:sujatha@sattvaengg.in" xr:uid="{9444A9D8-7CBB-45CA-B8BF-59E702F51D9B}"/>
    <hyperlink ref="N203" r:id="rId184" display="mailto:vinay@sianinfra.com" xr:uid="{1A175BF4-EBB2-404A-B352-09C640C50EF9}"/>
    <hyperlink ref="N40" r:id="rId185" display="mailto:kgoibhainsa@gmail.com" xr:uid="{7144CFF2-360F-4E75-9098-C83B4C87D7E0}"/>
    <hyperlink ref="N90" r:id="rId186" xr:uid="{27A6822C-713F-4431-8157-17FFDB87223B}"/>
    <hyperlink ref="N143" r:id="rId187" xr:uid="{BA4CB744-27B3-4AAC-8181-B912A102763B}"/>
    <hyperlink ref="N82" r:id="rId188" xr:uid="{57054B80-A742-4993-B359-0AA5FB79B69D}"/>
    <hyperlink ref="N176" r:id="rId189" xr:uid="{56063078-22B3-4963-861C-B2EB8B45EA3F}"/>
    <hyperlink ref="N91" r:id="rId190" xr:uid="{C1351489-27DF-4E99-807A-2F41585808B6}"/>
    <hyperlink ref="N177" r:id="rId191" xr:uid="{3FA1F8C4-1909-4191-A7BC-EC12BEF656F0}"/>
    <hyperlink ref="N234" r:id="rId192" xr:uid="{9A9DF0C1-305A-4813-AC9D-6EA65166F3E5}"/>
    <hyperlink ref="N245" r:id="rId193" display="dsrikanth@pvrgroup.com" xr:uid="{0FB2AFA4-AEFC-4047-9AD0-48BE26E1D969}"/>
    <hyperlink ref="N224" r:id="rId194" display="ganapathy@shareindia.com" xr:uid="{5C4A65A0-EFB2-4A8B-B4E8-3180368BD33E}"/>
    <hyperlink ref="N152" r:id="rId195" tooltip="mailto:sghosh@ewgroup.in" display="mailto:sghosh@ewgroup.in" xr:uid="{C4C786A9-F39B-4C67-A591-10DAB4B9230F}"/>
    <hyperlink ref="N135" r:id="rId196" tooltip="mailto:JIGNESH.ITALIYA@PARINGEMS.IN" display="mailto:JIGNESH.ITALIYA@PARINGEMS.IN" xr:uid="{F46068DB-F895-4500-B7DC-A8D513649FC0}"/>
    <hyperlink ref="N134" r:id="rId197" tooltip="mailto:info@millenniumtilesllp.com" display="mailto:info@millenniumtilesllp.com" xr:uid="{83ADBFDA-AE74-4331-A1B2-1EF6C753734C}"/>
    <hyperlink ref="N132" r:id="rId198" tooltip="mailto:subbaramk@karlegroup.com" display="mailto:subbaramk@karlegroup.com" xr:uid="{597B11F1-00E8-4630-9EBC-6A2E935D5BDE}"/>
    <hyperlink ref="N130" r:id="rId199" tooltip="mailto:gkk1959@gmail.com" display="mailto:gkk1959@gmail.com" xr:uid="{DB306CC3-1587-4AFC-85AB-43E816750513}"/>
    <hyperlink ref="N131" r:id="rId200" tooltip="mailto:neha.kamra@atsgreens.com,%20lovely.pathak@atsgreens.com" display="mailto:neha.kamra@atsgreens.com, lovely.pathak@atsgreens.com" xr:uid="{A85EE5AF-E3C7-4007-A521-7BF1BD974A26}"/>
    <hyperlink ref="N133" r:id="rId201" tooltip="mailto:finoliteceramic@gmail.com" display="mailto:finoliteceramic@gmail.com" xr:uid="{41D7E5FF-CEBE-4530-9C48-06B7A8BF0A31}"/>
    <hyperlink ref="N108" r:id="rId202" tooltip="mailto:hirenshah@ravirajfoils.com,%20tjain@ravirajfoils.com" display="mailto:hirenshah@ravirajfoils.com, tjain@ravirajfoils.com" xr:uid="{87550021-B65A-4F1E-B967-ECAC57A57CE4}"/>
    <hyperlink ref="N107" r:id="rId203" tooltip="mailto:adwalpalkar.finance@gmail.com" display="mailto:adwalpalkar.finance@gmail.com" xr:uid="{BEB161AA-AA70-4C42-9675-290AFEB0869D}"/>
    <hyperlink ref="N92" r:id="rId204" display="cs.uditinfraworld@gmail.com" xr:uid="{34EB3640-5D5F-477F-9A09-F33A1A4070A5}"/>
    <hyperlink ref="N93" r:id="rId205" display="cs.uditinfraworld@gmail.com" xr:uid="{72BC0FCE-DE23-498F-8992-AD43F565CAAD}"/>
    <hyperlink ref="N293" r:id="rId206" display="cs.uditinfraworld@gmail.com" xr:uid="{1FC26406-E521-46F9-8170-4804A248FA47}"/>
    <hyperlink ref="N77" r:id="rId207" display="aparna@premierenergies.com" xr:uid="{D77AA5B6-1353-4B17-BB85-C45982ACC35D}"/>
    <hyperlink ref="N85" r:id="rId208" tooltip="mailto:mundhesuyesh955@gmail.com" display="mailto:mundhesuyesh955@gmail.com" xr:uid="{D000A316-7E5B-42BC-93BF-5D744F3374CB}"/>
    <hyperlink ref="N233" r:id="rId209" tooltip="mailto:angela.sarna@revfin.in" display="mailto:angela.sarna@revfin.in" xr:uid="{8AF88352-3773-4C3E-A122-7C6E0A45C924}"/>
    <hyperlink ref="N104" r:id="rId210" xr:uid="{D6F9A8A3-05B4-4406-8440-B3D798FB5F31}"/>
    <hyperlink ref="N276" r:id="rId211" xr:uid="{A4C24CAD-7112-4CF7-8286-E6D79BECE18F}"/>
    <hyperlink ref="N101" r:id="rId212" tooltip="mailto:kiran@poojacraftedhomes.in" display="mailto:kiran@poojacraftedhomes.in" xr:uid="{17E279A9-B7C7-476B-8A25-93DEAFA32FB2}"/>
    <hyperlink ref="N120" r:id="rId213" display="sk@dcxindia.com" xr:uid="{D4C3EB37-7CD6-4682-B497-84DE5FB96C11}"/>
  </hyperlinks>
  <pageMargins left="1.0236220472440944" right="0.23622047244094491" top="0.74803149606299213" bottom="0.74803149606299213" header="0.31496062992125984" footer="0.31496062992125984"/>
  <pageSetup scale="10" orientation="landscape" r:id="rId21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0D1BF-6CEF-42E7-B7DB-FA082043664B}">
  <dimension ref="B1:N50"/>
  <sheetViews>
    <sheetView topLeftCell="A30" workbookViewId="0">
      <selection activeCell="B43" sqref="B43"/>
    </sheetView>
  </sheetViews>
  <sheetFormatPr defaultRowHeight="14.4" x14ac:dyDescent="0.3"/>
  <cols>
    <col min="2" max="2" width="55.6640625" bestFit="1" customWidth="1"/>
    <col min="3" max="3" width="13.88671875" bestFit="1" customWidth="1"/>
    <col min="4" max="10" width="17.33203125" bestFit="1" customWidth="1"/>
    <col min="11" max="12" width="15.109375" bestFit="1" customWidth="1"/>
  </cols>
  <sheetData>
    <row r="1" spans="2:14" x14ac:dyDescent="0.3">
      <c r="C1" s="85">
        <v>46265</v>
      </c>
      <c r="D1" s="85">
        <v>46266</v>
      </c>
      <c r="E1" s="85">
        <v>46267</v>
      </c>
      <c r="F1" s="85">
        <v>46268</v>
      </c>
      <c r="G1" s="85">
        <v>46272</v>
      </c>
      <c r="H1" s="85">
        <v>46273</v>
      </c>
      <c r="I1" s="85">
        <v>46287</v>
      </c>
      <c r="J1" s="85">
        <v>46295</v>
      </c>
      <c r="K1" s="85">
        <v>46297</v>
      </c>
      <c r="L1" s="85">
        <v>46307</v>
      </c>
      <c r="M1" s="85"/>
      <c r="N1" s="85"/>
    </row>
    <row r="2" spans="2:14" x14ac:dyDescent="0.3">
      <c r="C2" s="87">
        <v>46265</v>
      </c>
      <c r="D2" s="87">
        <v>46266</v>
      </c>
      <c r="E2" s="87">
        <v>46267</v>
      </c>
      <c r="F2" s="87">
        <v>46268</v>
      </c>
      <c r="G2" s="87">
        <v>46272</v>
      </c>
      <c r="H2" s="87">
        <v>46273</v>
      </c>
      <c r="I2" s="87">
        <f>I1</f>
        <v>46287</v>
      </c>
      <c r="J2" s="87">
        <f t="shared" ref="J2:L2" si="0">J1</f>
        <v>46295</v>
      </c>
      <c r="K2" s="87">
        <f t="shared" si="0"/>
        <v>46297</v>
      </c>
      <c r="L2" s="87">
        <f t="shared" si="0"/>
        <v>46307</v>
      </c>
    </row>
    <row r="3" spans="2:14" x14ac:dyDescent="0.3">
      <c r="B3" s="21" t="s">
        <v>31</v>
      </c>
      <c r="C3" s="84" t="b">
        <v>1</v>
      </c>
      <c r="D3" s="84" t="b">
        <v>1</v>
      </c>
      <c r="E3" s="84" t="b">
        <v>1</v>
      </c>
      <c r="F3" s="84" t="b">
        <v>1</v>
      </c>
      <c r="G3" s="84" t="b">
        <v>1</v>
      </c>
      <c r="H3" s="84" t="b">
        <v>1</v>
      </c>
    </row>
    <row r="4" spans="2:14" x14ac:dyDescent="0.3">
      <c r="B4" s="21" t="s">
        <v>33</v>
      </c>
      <c r="C4" s="84" t="b">
        <v>1</v>
      </c>
      <c r="D4" s="84" t="b">
        <v>1</v>
      </c>
      <c r="E4" s="84" t="b">
        <v>1</v>
      </c>
      <c r="F4" s="84" t="b">
        <v>1</v>
      </c>
      <c r="G4" s="84" t="b">
        <v>1</v>
      </c>
      <c r="H4" s="84" t="b">
        <v>1</v>
      </c>
    </row>
    <row r="5" spans="2:14" x14ac:dyDescent="0.3">
      <c r="B5" s="21" t="s">
        <v>35</v>
      </c>
      <c r="C5" s="84" t="b">
        <v>1</v>
      </c>
      <c r="D5" s="84" t="b">
        <v>1</v>
      </c>
      <c r="E5" s="84" t="b">
        <v>1</v>
      </c>
      <c r="F5" s="84" t="b">
        <v>1</v>
      </c>
      <c r="G5" s="84" t="b">
        <v>1</v>
      </c>
      <c r="H5" s="84" t="b">
        <v>1</v>
      </c>
    </row>
    <row r="6" spans="2:14" x14ac:dyDescent="0.3">
      <c r="B6" s="21" t="s">
        <v>37</v>
      </c>
      <c r="C6" s="84" t="b">
        <v>1</v>
      </c>
      <c r="D6" s="84" t="b">
        <v>1</v>
      </c>
      <c r="E6" s="84" t="b">
        <v>1</v>
      </c>
      <c r="F6" s="84" t="b">
        <v>1</v>
      </c>
      <c r="G6" s="84" t="b">
        <v>1</v>
      </c>
      <c r="H6" s="84" t="b">
        <v>1</v>
      </c>
    </row>
    <row r="7" spans="2:14" x14ac:dyDescent="0.3">
      <c r="B7" s="21" t="s">
        <v>38</v>
      </c>
      <c r="C7" s="84" t="b">
        <v>1</v>
      </c>
      <c r="D7" s="84" t="b">
        <v>1</v>
      </c>
      <c r="E7" s="84" t="b">
        <v>1</v>
      </c>
      <c r="F7" s="84" t="b">
        <v>1</v>
      </c>
      <c r="G7" s="84" t="b">
        <v>1</v>
      </c>
      <c r="H7" s="84" t="b">
        <v>1</v>
      </c>
    </row>
    <row r="8" spans="2:14" x14ac:dyDescent="0.3">
      <c r="B8" s="21" t="s">
        <v>39</v>
      </c>
      <c r="C8" s="84" t="b">
        <v>1</v>
      </c>
      <c r="D8" s="84" t="b">
        <v>1</v>
      </c>
      <c r="E8" s="84" t="b">
        <v>1</v>
      </c>
      <c r="F8" s="84" t="b">
        <v>1</v>
      </c>
      <c r="G8" s="84" t="b">
        <v>1</v>
      </c>
      <c r="H8" s="84" t="b">
        <v>1</v>
      </c>
    </row>
    <row r="9" spans="2:14" x14ac:dyDescent="0.3">
      <c r="B9" s="68" t="s">
        <v>54</v>
      </c>
      <c r="C9" s="84" t="b">
        <v>1</v>
      </c>
      <c r="D9" s="84" t="b">
        <v>1</v>
      </c>
      <c r="E9" s="84" t="b">
        <v>1</v>
      </c>
      <c r="F9" s="84" t="b">
        <v>1</v>
      </c>
      <c r="G9" s="84" t="b">
        <v>1</v>
      </c>
      <c r="H9" s="84" t="b">
        <v>1</v>
      </c>
    </row>
    <row r="10" spans="2:14" x14ac:dyDescent="0.3">
      <c r="B10" s="1" t="s">
        <v>837</v>
      </c>
      <c r="C10" s="84" t="b">
        <v>1</v>
      </c>
      <c r="D10" s="84" t="b">
        <v>1</v>
      </c>
      <c r="E10" s="84" t="b">
        <v>1</v>
      </c>
      <c r="F10" s="84" t="b">
        <v>1</v>
      </c>
      <c r="G10" s="84" t="b">
        <v>1</v>
      </c>
      <c r="H10" s="84" t="b">
        <v>1</v>
      </c>
    </row>
    <row r="11" spans="2:14" x14ac:dyDescent="0.3">
      <c r="B11" s="6" t="s">
        <v>68</v>
      </c>
      <c r="C11" s="84" t="b">
        <v>1</v>
      </c>
      <c r="D11" s="84" t="b">
        <v>1</v>
      </c>
      <c r="E11" s="84" t="b">
        <v>1</v>
      </c>
      <c r="F11" s="84" t="b">
        <v>1</v>
      </c>
      <c r="G11" s="84" t="b">
        <v>1</v>
      </c>
      <c r="H11" s="84" t="b">
        <v>1</v>
      </c>
    </row>
    <row r="12" spans="2:14" x14ac:dyDescent="0.3">
      <c r="B12" s="21" t="s">
        <v>817</v>
      </c>
      <c r="C12" s="84" t="b">
        <v>1</v>
      </c>
      <c r="D12" s="84" t="b">
        <v>1</v>
      </c>
      <c r="E12" s="84" t="b">
        <v>1</v>
      </c>
      <c r="F12" s="84" t="b">
        <v>1</v>
      </c>
      <c r="G12" s="84" t="b">
        <v>1</v>
      </c>
      <c r="H12" s="84" t="b">
        <v>1</v>
      </c>
    </row>
    <row r="13" spans="2:14" x14ac:dyDescent="0.3">
      <c r="B13" s="21" t="s">
        <v>818</v>
      </c>
      <c r="C13" s="84" t="b">
        <v>1</v>
      </c>
      <c r="D13" s="84" t="b">
        <v>1</v>
      </c>
      <c r="E13" s="84" t="b">
        <v>1</v>
      </c>
      <c r="F13" s="84" t="b">
        <v>1</v>
      </c>
      <c r="G13" s="84" t="b">
        <v>1</v>
      </c>
      <c r="H13" s="84" t="b">
        <v>1</v>
      </c>
    </row>
    <row r="14" spans="2:14" x14ac:dyDescent="0.3">
      <c r="B14" s="21" t="s">
        <v>44</v>
      </c>
      <c r="C14" s="84" t="b">
        <v>1</v>
      </c>
      <c r="D14" s="84" t="b">
        <v>1</v>
      </c>
      <c r="E14" s="84" t="b">
        <v>1</v>
      </c>
      <c r="F14" s="84" t="b">
        <v>1</v>
      </c>
      <c r="G14" s="84" t="b">
        <v>1</v>
      </c>
      <c r="H14" s="84" t="b">
        <v>1</v>
      </c>
    </row>
    <row r="15" spans="2:14" x14ac:dyDescent="0.3">
      <c r="B15" s="21" t="s">
        <v>46</v>
      </c>
      <c r="C15" s="84" t="b">
        <v>1</v>
      </c>
      <c r="D15" s="84" t="b">
        <v>1</v>
      </c>
      <c r="E15" s="84" t="b">
        <v>1</v>
      </c>
      <c r="F15" s="84" t="b">
        <v>1</v>
      </c>
      <c r="G15" s="84" t="b">
        <v>1</v>
      </c>
      <c r="H15" s="84" t="b">
        <v>1</v>
      </c>
    </row>
    <row r="16" spans="2:14" x14ac:dyDescent="0.3">
      <c r="B16" s="21" t="s">
        <v>47</v>
      </c>
      <c r="C16" s="84" t="b">
        <v>1</v>
      </c>
      <c r="D16" s="84" t="b">
        <v>1</v>
      </c>
      <c r="E16" s="84" t="b">
        <v>1</v>
      </c>
      <c r="F16" s="84" t="b">
        <v>1</v>
      </c>
      <c r="G16" s="84" t="b">
        <v>1</v>
      </c>
      <c r="H16" s="84" t="b">
        <v>1</v>
      </c>
    </row>
    <row r="17" spans="2:12" x14ac:dyDescent="0.3">
      <c r="B17" s="21" t="s">
        <v>45</v>
      </c>
      <c r="C17" s="84" t="b">
        <v>1</v>
      </c>
      <c r="D17" s="84" t="b">
        <v>1</v>
      </c>
      <c r="E17" s="84" t="b">
        <v>1</v>
      </c>
      <c r="F17" s="84" t="b">
        <v>1</v>
      </c>
      <c r="G17" s="84" t="b">
        <v>0</v>
      </c>
      <c r="H17" s="84" t="b">
        <v>0</v>
      </c>
    </row>
    <row r="18" spans="2:12" x14ac:dyDescent="0.3">
      <c r="B18" s="21" t="s">
        <v>52</v>
      </c>
      <c r="C18" s="84" t="b">
        <v>1</v>
      </c>
      <c r="D18" s="84" t="b">
        <v>1</v>
      </c>
      <c r="E18" s="84" t="b">
        <v>1</v>
      </c>
      <c r="F18" s="84" t="b">
        <v>1</v>
      </c>
      <c r="G18" s="84" t="b">
        <v>1</v>
      </c>
      <c r="H18" s="84" t="b">
        <v>1</v>
      </c>
    </row>
    <row r="19" spans="2:12" x14ac:dyDescent="0.3">
      <c r="B19" s="21" t="s">
        <v>50</v>
      </c>
      <c r="C19" s="84" t="b">
        <v>1</v>
      </c>
      <c r="D19" s="84" t="b">
        <v>1</v>
      </c>
      <c r="E19" s="84" t="b">
        <v>1</v>
      </c>
      <c r="F19" s="84" t="b">
        <v>1</v>
      </c>
      <c r="G19" s="84" t="b">
        <v>1</v>
      </c>
      <c r="H19" s="84" t="b">
        <v>1</v>
      </c>
    </row>
    <row r="20" spans="2:12" x14ac:dyDescent="0.3">
      <c r="B20" s="21" t="s">
        <v>55</v>
      </c>
      <c r="G20" s="84" t="b">
        <v>1</v>
      </c>
      <c r="H20" s="84" t="b">
        <v>1</v>
      </c>
      <c r="I20" s="84" t="b">
        <v>1</v>
      </c>
    </row>
    <row r="21" spans="2:12" x14ac:dyDescent="0.3">
      <c r="B21" s="21" t="s">
        <v>57</v>
      </c>
      <c r="G21" s="84" t="b">
        <v>1</v>
      </c>
      <c r="H21" s="84" t="b">
        <v>1</v>
      </c>
      <c r="I21" s="84" t="b">
        <v>1</v>
      </c>
    </row>
    <row r="22" spans="2:12" x14ac:dyDescent="0.3">
      <c r="B22" s="21" t="s">
        <v>53</v>
      </c>
      <c r="G22" s="84" t="b">
        <v>1</v>
      </c>
      <c r="H22" s="84" t="b">
        <v>1</v>
      </c>
      <c r="I22" s="84" t="b">
        <v>1</v>
      </c>
    </row>
    <row r="23" spans="2:12" x14ac:dyDescent="0.3">
      <c r="B23" s="21" t="s">
        <v>59</v>
      </c>
      <c r="G23" s="84" t="b">
        <v>1</v>
      </c>
      <c r="H23" s="84" t="b">
        <v>1</v>
      </c>
      <c r="I23" s="84" t="b">
        <v>1</v>
      </c>
    </row>
    <row r="24" spans="2:12" x14ac:dyDescent="0.3">
      <c r="B24" s="21" t="s">
        <v>60</v>
      </c>
      <c r="G24" s="84" t="b">
        <v>1</v>
      </c>
      <c r="H24" s="84" t="b">
        <v>1</v>
      </c>
      <c r="I24" s="84" t="b">
        <v>1</v>
      </c>
    </row>
    <row r="25" spans="2:12" x14ac:dyDescent="0.3">
      <c r="B25" s="21" t="s">
        <v>62</v>
      </c>
      <c r="G25" s="84" t="b">
        <v>1</v>
      </c>
      <c r="H25" s="84" t="b">
        <v>1</v>
      </c>
      <c r="I25" s="84" t="b">
        <v>1</v>
      </c>
    </row>
    <row r="26" spans="2:12" x14ac:dyDescent="0.3">
      <c r="B26" s="21" t="s">
        <v>64</v>
      </c>
      <c r="G26" s="84" t="b">
        <v>1</v>
      </c>
      <c r="H26" s="84" t="b">
        <v>1</v>
      </c>
      <c r="I26" s="84" t="b">
        <v>1</v>
      </c>
    </row>
    <row r="27" spans="2:12" x14ac:dyDescent="0.3">
      <c r="B27" s="21" t="s">
        <v>67</v>
      </c>
      <c r="G27" s="84" t="b">
        <v>1</v>
      </c>
      <c r="H27" s="84" t="b">
        <v>1</v>
      </c>
      <c r="I27" s="84" t="b">
        <v>1</v>
      </c>
    </row>
    <row r="28" spans="2:12" x14ac:dyDescent="0.3">
      <c r="B28" s="21" t="s">
        <v>66</v>
      </c>
      <c r="G28" s="84" t="b">
        <v>1</v>
      </c>
      <c r="H28" s="84" t="b">
        <v>1</v>
      </c>
      <c r="I28" s="84" t="b">
        <v>1</v>
      </c>
    </row>
    <row r="29" spans="2:12" x14ac:dyDescent="0.3">
      <c r="B29" s="21" t="s">
        <v>69</v>
      </c>
      <c r="G29" s="84" t="b">
        <v>1</v>
      </c>
      <c r="H29" s="84" t="b">
        <v>1</v>
      </c>
      <c r="J29" s="84" t="b">
        <v>1</v>
      </c>
    </row>
    <row r="30" spans="2:12" x14ac:dyDescent="0.3">
      <c r="B30" s="21" t="s">
        <v>71</v>
      </c>
      <c r="G30" s="84" t="b">
        <v>1</v>
      </c>
      <c r="H30" s="84" t="b">
        <v>1</v>
      </c>
      <c r="J30" s="84" t="b">
        <v>1</v>
      </c>
    </row>
    <row r="31" spans="2:12" x14ac:dyDescent="0.3">
      <c r="B31" s="21" t="s">
        <v>869</v>
      </c>
      <c r="J31" s="84" t="b">
        <v>1</v>
      </c>
      <c r="K31" s="84" t="b">
        <v>1</v>
      </c>
      <c r="L31" s="84" t="b">
        <v>1</v>
      </c>
    </row>
    <row r="32" spans="2:12" x14ac:dyDescent="0.3">
      <c r="B32" s="21" t="s">
        <v>73</v>
      </c>
      <c r="J32" s="84" t="b">
        <v>1</v>
      </c>
      <c r="K32" s="84" t="b">
        <v>1</v>
      </c>
      <c r="L32" s="84" t="b">
        <v>1</v>
      </c>
    </row>
    <row r="33" spans="2:12" x14ac:dyDescent="0.3">
      <c r="B33" s="21" t="s">
        <v>870</v>
      </c>
      <c r="J33" s="84" t="b">
        <v>1</v>
      </c>
      <c r="K33" s="84" t="b">
        <v>1</v>
      </c>
      <c r="L33" s="84" t="b">
        <v>1</v>
      </c>
    </row>
    <row r="34" spans="2:12" x14ac:dyDescent="0.3">
      <c r="B34" s="21" t="s">
        <v>871</v>
      </c>
      <c r="J34" s="84" t="b">
        <v>1</v>
      </c>
      <c r="K34" s="84" t="b">
        <v>1</v>
      </c>
      <c r="L34" s="84" t="b">
        <v>1</v>
      </c>
    </row>
    <row r="35" spans="2:12" x14ac:dyDescent="0.3">
      <c r="B35" s="21" t="s">
        <v>79</v>
      </c>
      <c r="J35" s="84" t="b">
        <v>1</v>
      </c>
      <c r="K35" s="84" t="b">
        <v>1</v>
      </c>
      <c r="L35" s="84" t="b">
        <v>1</v>
      </c>
    </row>
    <row r="36" spans="2:12" x14ac:dyDescent="0.3">
      <c r="B36" s="21" t="s">
        <v>74</v>
      </c>
      <c r="J36" s="84" t="b">
        <v>1</v>
      </c>
      <c r="K36" s="84" t="b">
        <v>1</v>
      </c>
      <c r="L36" s="84" t="b">
        <v>1</v>
      </c>
    </row>
    <row r="41" spans="2:12" x14ac:dyDescent="0.3">
      <c r="B41" t="s">
        <v>892</v>
      </c>
      <c r="C41" t="s">
        <v>893</v>
      </c>
    </row>
    <row r="42" spans="2:12" x14ac:dyDescent="0.3">
      <c r="B42" t="s">
        <v>66</v>
      </c>
      <c r="C42" t="s">
        <v>894</v>
      </c>
    </row>
    <row r="43" spans="2:12" x14ac:dyDescent="0.3">
      <c r="B43" t="s">
        <v>895</v>
      </c>
      <c r="C43" t="s">
        <v>896</v>
      </c>
    </row>
    <row r="44" spans="2:12" x14ac:dyDescent="0.3">
      <c r="B44" t="s">
        <v>71</v>
      </c>
      <c r="C44" t="s">
        <v>896</v>
      </c>
    </row>
    <row r="45" spans="2:12" x14ac:dyDescent="0.3">
      <c r="B45" t="s">
        <v>869</v>
      </c>
      <c r="C45" t="s">
        <v>897</v>
      </c>
    </row>
    <row r="46" spans="2:12" x14ac:dyDescent="0.3">
      <c r="B46" t="s">
        <v>73</v>
      </c>
      <c r="C46" t="s">
        <v>897</v>
      </c>
    </row>
    <row r="47" spans="2:12" x14ac:dyDescent="0.3">
      <c r="B47" t="s">
        <v>870</v>
      </c>
      <c r="C47" t="s">
        <v>897</v>
      </c>
    </row>
    <row r="48" spans="2:12" x14ac:dyDescent="0.3">
      <c r="B48" t="s">
        <v>871</v>
      </c>
      <c r="C48" t="s">
        <v>897</v>
      </c>
    </row>
    <row r="49" spans="2:3" x14ac:dyDescent="0.3">
      <c r="B49" t="s">
        <v>79</v>
      </c>
      <c r="C49" t="s">
        <v>897</v>
      </c>
    </row>
    <row r="50" spans="2:3" x14ac:dyDescent="0.3">
      <c r="B50" t="s">
        <v>74</v>
      </c>
      <c r="C50" t="s">
        <v>897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4FED6-2A11-4BD4-B178-43011E64979C}">
  <sheetPr>
    <pageSetUpPr fitToPage="1"/>
  </sheetPr>
  <dimension ref="A1:N154"/>
  <sheetViews>
    <sheetView workbookViewId="0">
      <selection activeCell="A2" sqref="A2"/>
    </sheetView>
  </sheetViews>
  <sheetFormatPr defaultColWidth="9.109375" defaultRowHeight="19.2" customHeight="1" x14ac:dyDescent="0.3"/>
  <cols>
    <col min="1" max="1" width="13" style="4" bestFit="1" customWidth="1"/>
    <col min="2" max="2" width="9.109375" style="4"/>
    <col min="3" max="3" width="37.44140625" style="4" customWidth="1"/>
    <col min="4" max="4" width="12.33203125" style="69" bestFit="1" customWidth="1"/>
    <col min="5" max="5" width="19.6640625" style="69" bestFit="1" customWidth="1"/>
    <col min="6" max="6" width="20" style="69" bestFit="1" customWidth="1"/>
    <col min="7" max="7" width="15.88671875" style="69" customWidth="1"/>
    <col min="8" max="9" width="22.88671875" style="69" customWidth="1"/>
    <col min="10" max="10" width="13" style="69" customWidth="1"/>
    <col min="11" max="11" width="13" style="4" customWidth="1"/>
    <col min="12" max="12" width="21.109375" style="4" customWidth="1"/>
    <col min="13" max="14" width="21" style="4" customWidth="1"/>
    <col min="15" max="15" width="19" style="4" bestFit="1" customWidth="1"/>
    <col min="16" max="16384" width="9.109375" style="4"/>
  </cols>
  <sheetData>
    <row r="1" spans="1:14" ht="19.2" customHeight="1" x14ac:dyDescent="0.3">
      <c r="A1" s="88">
        <f ca="1">TODAY()</f>
        <v>46316</v>
      </c>
      <c r="B1" s="9" t="s">
        <v>3</v>
      </c>
      <c r="C1" s="2" t="s">
        <v>1</v>
      </c>
      <c r="D1" s="89" t="s">
        <v>256</v>
      </c>
      <c r="E1" s="89" t="s">
        <v>2</v>
      </c>
      <c r="F1" s="89" t="s">
        <v>258</v>
      </c>
      <c r="G1" s="3" t="s">
        <v>0</v>
      </c>
      <c r="H1" s="89" t="s">
        <v>259</v>
      </c>
      <c r="I1" s="89" t="s">
        <v>260</v>
      </c>
      <c r="J1" s="89" t="s">
        <v>807</v>
      </c>
      <c r="K1" s="2" t="s">
        <v>262</v>
      </c>
      <c r="L1" s="2" t="s">
        <v>263</v>
      </c>
      <c r="M1" s="2" t="s">
        <v>264</v>
      </c>
      <c r="N1" s="91"/>
    </row>
    <row r="2" spans="1:14" ht="19.2" customHeight="1" x14ac:dyDescent="0.3">
      <c r="A2" s="99" t="str">
        <f>IF(_xlfn.XLOOKUP($C2,ALL!$C$2:$C$341,ALL!A$2:A$341)&lt;&gt;"",_xlfn.XLOOKUP($C2,ALL!$C$2:$C$341,ALL!A$2:A$341),"")</f>
        <v>Live</v>
      </c>
      <c r="B2" s="15" t="b">
        <f>IF(_xlfn.XLOOKUP($C2,ALL!$C$2:$C$341,ALL!B$2:B$341)&lt;&gt;"",_xlfn.XLOOKUP($C2,ALL!$C$2:$C$341,ALL!B$2:B$341),"")</f>
        <v>0</v>
      </c>
      <c r="C2" s="92" t="s">
        <v>161</v>
      </c>
      <c r="D2" s="90">
        <f>IF(_xlfn.XLOOKUP($C2,ALL!$C$2:$C$341,ALL!D$2:D$341)&lt;&gt;"",_xlfn.XLOOKUP($C2,ALL!$C$2:$C$341,ALL!D$2:D$341),"")</f>
        <v>54.22</v>
      </c>
      <c r="E2" s="9" t="str">
        <f>IF(_xlfn.XLOOKUP($C2,ALL!$C$2:$C$341,ALL!F$2:F$341)&lt;&gt;"",_xlfn.XLOOKUP($C2,ALL!$C$2:$C$341,ALL!F$2:F$341),"")</f>
        <v>Milan Purohit</v>
      </c>
      <c r="F2" s="9" t="str">
        <f>IF(_xlfn.XLOOKUP($C2,ALL!$C$2:$C$341,ALL!G$2:G$341)&lt;&gt;"",_xlfn.XLOOKUP($C2,ALL!$C$2:$C$341,ALL!G$2:G$341),"")</f>
        <v>Amey Joshi</v>
      </c>
      <c r="G2" s="7">
        <f>IF(_xlfn.XLOOKUP($C2,ALL!$C$2:$C$341,ALL!H$2:H$341)&lt;&gt;"",_xlfn.XLOOKUP($C2,ALL!$C$2:$C$341,ALL!H$2:H$341),"")</f>
        <v>46045</v>
      </c>
      <c r="H2" s="9" t="str">
        <f>IF(_xlfn.XLOOKUP($C2,ALL!$C$2:$C$341,ALL!I$2:I$341)&lt;&gt;"",_xlfn.XLOOKUP($C2,ALL!$C$2:$C$341,ALL!I$2:I$341),"")</f>
        <v>IVR D</v>
      </c>
      <c r="I2" s="9" t="str">
        <f>IF(_xlfn.XLOOKUP($C2,ALL!$C$2:$C$341,ALL!J$2:J$341)&lt;&gt;"",_xlfn.XLOOKUP($C2,ALL!$C$2:$C$341,ALL!J$2:J$341),"")</f>
        <v/>
      </c>
      <c r="J2" s="7">
        <f>IF(_xlfn.XLOOKUP($C2,ALL!$C$2:$C$341,ALL!K$2:K$341)&lt;&gt;"",_xlfn.XLOOKUP($C2,ALL!$C$2:$C$341,ALL!K$2:K$341),"")</f>
        <v>46410</v>
      </c>
      <c r="K2" s="8" t="str">
        <f>IF(_xlfn.XLOOKUP($C2,ALL!$C$2:$C$341,ALL!L$2:L$341)&lt;&gt;"",_xlfn.XLOOKUP($C2,ALL!$C$2:$C$341,ALL!L$2:L$341),"")</f>
        <v>Mr Venkateswaran</v>
      </c>
      <c r="L2" s="8">
        <f>IF(_xlfn.XLOOKUP($C2,ALL!$C$2:$C$341,ALL!M$2:M$341)&lt;&gt;"",_xlfn.XLOOKUP($C2,ALL!$C$2:$C$341,ALL!M$2:M$341),"")</f>
        <v>9750946966</v>
      </c>
      <c r="M2" s="8" t="str">
        <f>IF(_xlfn.XLOOKUP($C2,ALL!$C$2:$C$341,ALL!N$2:N$341)&lt;&gt;"",_xlfn.XLOOKUP($C2,ALL!$C$2:$C$341,ALL!N$2:N$341),"")</f>
        <v>nikita@indiahomeloan.co.in, maulesh.p@indiahomeloan.in</v>
      </c>
      <c r="N2" s="8" t="str">
        <f>IF(_xlfn.XLOOKUP($C2,ALL!$C$2:$C$341,ALL!O$2:O$341)&lt;&gt;"",_xlfn.XLOOKUP($C2,ALL!$C$2:$C$341,ALL!O$2:O$341),"")</f>
        <v/>
      </c>
    </row>
    <row r="3" spans="1:14" ht="19.2" customHeight="1" x14ac:dyDescent="0.3">
      <c r="A3" s="99">
        <f ca="1">IF(_xlfn.XLOOKUP($C3,ALL!$C$2:$C$341,ALL!A$2:A$341)&lt;&gt;"",_xlfn.XLOOKUP($C3,ALL!$C$2:$C$341,ALL!A$2:A$341),"")</f>
        <v>-107</v>
      </c>
      <c r="B3" s="15" t="b">
        <f>IF(_xlfn.XLOOKUP($C3,ALL!$C$2:$C$341,ALL!B$2:B$341)&lt;&gt;"",_xlfn.XLOOKUP($C3,ALL!$C$2:$C$341,ALL!B$2:B$341),"")</f>
        <v>0</v>
      </c>
      <c r="C3" s="92" t="s">
        <v>172</v>
      </c>
      <c r="D3" s="90" t="str">
        <f>IF(_xlfn.XLOOKUP($C3,ALL!$C$2:$C$341,ALL!D$2:D$341)&lt;&gt;"",_xlfn.XLOOKUP($C3,ALL!$C$2:$C$341,ALL!D$2:D$341),"")</f>
        <v/>
      </c>
      <c r="E3" s="9" t="str">
        <f>IF(_xlfn.XLOOKUP($C3,ALL!$C$2:$C$341,ALL!F$2:F$341)&lt;&gt;"",_xlfn.XLOOKUP($C3,ALL!$C$2:$C$341,ALL!F$2:F$341),"")</f>
        <v>Nikita</v>
      </c>
      <c r="F3" s="9" t="str">
        <f>IF(_xlfn.XLOOKUP($C3,ALL!$C$2:$C$341,ALL!G$2:G$341)&lt;&gt;"",_xlfn.XLOOKUP($C3,ALL!$C$2:$C$341,ALL!G$2:G$341),"")</f>
        <v>Jyotsna</v>
      </c>
      <c r="G3" s="7">
        <f>IF(_xlfn.XLOOKUP($C3,ALL!$C$2:$C$341,ALL!H$2:H$341)&lt;&gt;"",_xlfn.XLOOKUP($C3,ALL!$C$2:$C$341,ALL!H$2:H$341),"")</f>
        <v>46058</v>
      </c>
      <c r="H3" s="9" t="str">
        <f>IF(_xlfn.XLOOKUP($C3,ALL!$C$2:$C$341,ALL!I$2:I$341)&lt;&gt;"",_xlfn.XLOOKUP($C3,ALL!$C$2:$C$341,ALL!I$2:I$341),"")</f>
        <v>IVR B /Negative; INC</v>
      </c>
      <c r="I3" s="9" t="str">
        <f>IF(_xlfn.XLOOKUP($C3,ALL!$C$2:$C$341,ALL!J$2:J$341)&lt;&gt;"",_xlfn.XLOOKUP($C3,ALL!$C$2:$C$341,ALL!J$2:J$341),"")</f>
        <v/>
      </c>
      <c r="J3" s="7">
        <f>IF(_xlfn.XLOOKUP($C3,ALL!$C$2:$C$341,ALL!K$2:K$341)&lt;&gt;"",_xlfn.XLOOKUP($C3,ALL!$C$2:$C$341,ALL!K$2:K$341),"")</f>
        <v>46423</v>
      </c>
      <c r="K3" s="8" t="str">
        <f>IF(_xlfn.XLOOKUP($C3,ALL!$C$2:$C$341,ALL!L$2:L$341)&lt;&gt;"",_xlfn.XLOOKUP($C3,ALL!$C$2:$C$341,ALL!L$2:L$341),"")</f>
        <v>Jitendra Verma</v>
      </c>
      <c r="L3" s="8">
        <f>IF(_xlfn.XLOOKUP($C3,ALL!$C$2:$C$341,ALL!M$2:M$341)&lt;&gt;"",_xlfn.XLOOKUP($C3,ALL!$C$2:$C$341,ALL!M$2:M$341),"")</f>
        <v>7803800004</v>
      </c>
      <c r="M3" s="8" t="str">
        <f>IF(_xlfn.XLOOKUP($C3,ALL!$C$2:$C$341,ALL!N$2:N$341)&lt;&gt;"",_xlfn.XLOOKUP($C3,ALL!$C$2:$C$341,ALL!N$2:N$341),"")</f>
        <v>jatin@vamicaresorts.com;vamicaresort003@gmail.com</v>
      </c>
      <c r="N3" s="8" t="str">
        <f>IF(_xlfn.XLOOKUP($C3,ALL!$C$2:$C$341,ALL!O$2:O$341)&lt;&gt;"",_xlfn.XLOOKUP($C3,ALL!$C$2:$C$341,ALL!O$2:O$341),"")</f>
        <v/>
      </c>
    </row>
    <row r="4" spans="1:14" ht="19.2" customHeight="1" x14ac:dyDescent="0.3">
      <c r="A4" s="99">
        <f ca="1">IF(_xlfn.XLOOKUP($C4,ALL!$C$2:$C$341,ALL!A$2:A$341)&lt;&gt;"",_xlfn.XLOOKUP($C4,ALL!$C$2:$C$341,ALL!A$2:A$341),"")</f>
        <v>-114</v>
      </c>
      <c r="B4" s="15" t="b">
        <f>IF(_xlfn.XLOOKUP($C4,ALL!$C$2:$C$341,ALL!B$2:B$341)&lt;&gt;"",_xlfn.XLOOKUP($C4,ALL!$C$2:$C$341,ALL!B$2:B$341),"")</f>
        <v>0</v>
      </c>
      <c r="C4" s="8" t="s">
        <v>857</v>
      </c>
      <c r="D4" s="9">
        <f>IF(_xlfn.XLOOKUP($C4,ALL!$C$2:$C$341,ALL!D$2:D$341)&lt;&gt;"",_xlfn.XLOOKUP($C4,ALL!$C$2:$C$341,ALL!D$2:D$341),"")</f>
        <v>817.9</v>
      </c>
      <c r="E4" s="9" t="str">
        <f>IF(_xlfn.XLOOKUP($C4,ALL!$C$2:$C$341,ALL!F$2:F$341)&lt;&gt;"",_xlfn.XLOOKUP($C4,ALL!$C$2:$C$341,ALL!F$2:F$341),"")</f>
        <v>Nilesh Gupta</v>
      </c>
      <c r="F4" s="9" t="str">
        <f>IF(_xlfn.XLOOKUP($C4,ALL!$C$2:$C$341,ALL!G$2:G$341)&lt;&gt;"",_xlfn.XLOOKUP($C4,ALL!$C$2:$C$341,ALL!G$2:G$341),"")</f>
        <v>Amey Joshi</v>
      </c>
      <c r="G4" s="7">
        <f>IF(_xlfn.XLOOKUP($C4,ALL!$C$2:$C$341,ALL!H$2:H$341)&lt;&gt;"",_xlfn.XLOOKUP($C4,ALL!$C$2:$C$341,ALL!H$2:H$341),"")</f>
        <v>46065</v>
      </c>
      <c r="H4" s="9" t="str">
        <f>IF(_xlfn.XLOOKUP($C4,ALL!$C$2:$C$341,ALL!I$2:I$341)&lt;&gt;"",_xlfn.XLOOKUP($C4,ALL!$C$2:$C$341,ALL!I$2:I$341),"")</f>
        <v>IVR D; INC</v>
      </c>
      <c r="I4" s="9" t="str">
        <f>IF(_xlfn.XLOOKUP($C4,ALL!$C$2:$C$341,ALL!J$2:J$341)&lt;&gt;"",_xlfn.XLOOKUP($C4,ALL!$C$2:$C$341,ALL!J$2:J$341),"")</f>
        <v/>
      </c>
      <c r="J4" s="7">
        <f>IF(_xlfn.XLOOKUP($C4,ALL!$C$2:$C$341,ALL!K$2:K$341)&lt;&gt;"",_xlfn.XLOOKUP($C4,ALL!$C$2:$C$341,ALL!K$2:K$341),"")</f>
        <v>46430</v>
      </c>
      <c r="K4" s="8" t="str">
        <f>IF(_xlfn.XLOOKUP($C4,ALL!$C$2:$C$341,ALL!L$2:L$341)&lt;&gt;"",_xlfn.XLOOKUP($C4,ALL!$C$2:$C$341,ALL!L$2:L$341),"")</f>
        <v/>
      </c>
      <c r="L4" s="8" t="str">
        <f>IF(_xlfn.XLOOKUP($C4,ALL!$C$2:$C$341,ALL!M$2:M$341)&lt;&gt;"",_xlfn.XLOOKUP($C4,ALL!$C$2:$C$341,ALL!M$2:M$341),"")</f>
        <v/>
      </c>
      <c r="M4" s="8" t="str">
        <f>IF(_xlfn.XLOOKUP($C4,ALL!$C$2:$C$341,ALL!N$2:N$341)&lt;&gt;"",_xlfn.XLOOKUP($C4,ALL!$C$2:$C$341,ALL!N$2:N$341),"")</f>
        <v/>
      </c>
      <c r="N4" s="8"/>
    </row>
    <row r="5" spans="1:14" ht="19.2" customHeight="1" x14ac:dyDescent="0.3">
      <c r="A5" s="99">
        <f ca="1">IF(_xlfn.XLOOKUP($C5,ALL!$C$2:$C$341,ALL!A$2:A$341)&lt;&gt;"",_xlfn.XLOOKUP($C5,ALL!$C$2:$C$341,ALL!A$2:A$341),"")</f>
        <v>-156</v>
      </c>
      <c r="B5" s="15" t="b">
        <f>IF(_xlfn.XLOOKUP($C5,ALL!$C$2:$C$341,ALL!B$2:B$341)&lt;&gt;"",_xlfn.XLOOKUP($C5,ALL!$C$2:$C$341,ALL!B$2:B$341),"")</f>
        <v>0</v>
      </c>
      <c r="C5" s="92" t="s">
        <v>858</v>
      </c>
      <c r="D5" s="90" t="str">
        <f>IF(_xlfn.XLOOKUP($C5,ALL!$C$2:$C$341,ALL!D$2:D$341)&lt;&gt;"",_xlfn.XLOOKUP($C5,ALL!$C$2:$C$341,ALL!D$2:D$341),"")</f>
        <v/>
      </c>
      <c r="E5" s="9" t="str">
        <f>IF(_xlfn.XLOOKUP($C5,ALL!$C$2:$C$341,ALL!F$2:F$341)&lt;&gt;"",_xlfn.XLOOKUP($C5,ALL!$C$2:$C$341,ALL!F$2:F$341),"")</f>
        <v>Pratik Prabhu</v>
      </c>
      <c r="F5" s="9" t="str">
        <f>IF(_xlfn.XLOOKUP($C5,ALL!$C$2:$C$341,ALL!G$2:G$341)&lt;&gt;"",_xlfn.XLOOKUP($C5,ALL!$C$2:$C$341,ALL!G$2:G$341),"")</f>
        <v>Sudarshan Shreenivas</v>
      </c>
      <c r="G5" s="7">
        <f>IF(_xlfn.XLOOKUP($C5,ALL!$C$2:$C$341,ALL!H$2:H$341)&lt;&gt;"",_xlfn.XLOOKUP($C5,ALL!$C$2:$C$341,ALL!H$2:H$341),"")</f>
        <v>46107</v>
      </c>
      <c r="H5" s="9" t="str">
        <f>IF(_xlfn.XLOOKUP($C5,ALL!$C$2:$C$341,ALL!I$2:I$341)&lt;&gt;"",_xlfn.XLOOKUP($C5,ALL!$C$2:$C$341,ALL!I$2:I$341),"")</f>
        <v>IVR B+ /Negative; INC</v>
      </c>
      <c r="I5" s="9" t="str">
        <f>IF(_xlfn.XLOOKUP($C5,ALL!$C$2:$C$341,ALL!J$2:J$341)&lt;&gt;"",_xlfn.XLOOKUP($C5,ALL!$C$2:$C$341,ALL!J$2:J$341),"")</f>
        <v/>
      </c>
      <c r="J5" s="7">
        <f>IF(_xlfn.XLOOKUP($C5,ALL!$C$2:$C$341,ALL!K$2:K$341)&lt;&gt;"",_xlfn.XLOOKUP($C5,ALL!$C$2:$C$341,ALL!K$2:K$341),"")</f>
        <v>46472</v>
      </c>
      <c r="K5" s="8" t="str">
        <f>IF(_xlfn.XLOOKUP($C5,ALL!$C$2:$C$341,ALL!L$2:L$341)&lt;&gt;"",_xlfn.XLOOKUP($C5,ALL!$C$2:$C$341,ALL!L$2:L$341),"")</f>
        <v>Devrishi Viyan - 9969522952, Mr Mayank Agarwalla - 7760022929, Ritesh - 9810500076</v>
      </c>
      <c r="L5" s="8" t="str">
        <f>IF(_xlfn.XLOOKUP($C5,ALL!$C$2:$C$341,ALL!M$2:M$341)&lt;&gt;"",_xlfn.XLOOKUP($C5,ALL!$C$2:$C$341,ALL!M$2:M$341),"")</f>
        <v/>
      </c>
      <c r="M5" s="8" t="str">
        <f>IF(_xlfn.XLOOKUP($C5,ALL!$C$2:$C$341,ALL!N$2:N$341)&lt;&gt;"",_xlfn.XLOOKUP($C5,ALL!$C$2:$C$341,ALL!N$2:N$341),"")</f>
        <v>devrishi.v@unitern.com, ritesh@unitern.com, agarwalla.mayank@gmail.com, profwallet@gmail.com</v>
      </c>
      <c r="N5" s="8" t="str">
        <f>IF(_xlfn.XLOOKUP($C5,ALL!$C$2:$C$341,ALL!O$2:O$341)&lt;&gt;"",_xlfn.XLOOKUP($C5,ALL!$C$2:$C$341,ALL!O$2:O$341),"")</f>
        <v/>
      </c>
    </row>
    <row r="6" spans="1:14" ht="19.2" customHeight="1" x14ac:dyDescent="0.3">
      <c r="A6" s="99">
        <f ca="1">IF(_xlfn.XLOOKUP($C6,ALL!$C$2:$C$341,ALL!A$2:A$341)&lt;&gt;"",_xlfn.XLOOKUP($C6,ALL!$C$2:$C$341,ALL!A$2:A$341),"")</f>
        <v>-160</v>
      </c>
      <c r="B6" s="15" t="b">
        <f>IF(_xlfn.XLOOKUP($C6,ALL!$C$2:$C$341,ALL!B$2:B$341)&lt;&gt;"",_xlfn.XLOOKUP($C6,ALL!$C$2:$C$341,ALL!B$2:B$341),"")</f>
        <v>0</v>
      </c>
      <c r="C6" s="92" t="s">
        <v>199</v>
      </c>
      <c r="D6" s="90" t="str">
        <f>IF(_xlfn.XLOOKUP($C6,ALL!$C$2:$C$341,ALL!D$2:D$341)&lt;&gt;"",_xlfn.XLOOKUP($C6,ALL!$C$2:$C$341,ALL!D$2:D$341),"")</f>
        <v/>
      </c>
      <c r="E6" s="9" t="str">
        <f>IF(_xlfn.XLOOKUP($C6,ALL!$C$2:$C$341,ALL!F$2:F$341)&lt;&gt;"",_xlfn.XLOOKUP($C6,ALL!$C$2:$C$341,ALL!F$2:F$341),"")</f>
        <v>Nikita</v>
      </c>
      <c r="F6" s="9" t="str">
        <f>IF(_xlfn.XLOOKUP($C6,ALL!$C$2:$C$341,ALL!G$2:G$341)&lt;&gt;"",_xlfn.XLOOKUP($C6,ALL!$C$2:$C$341,ALL!G$2:G$341),"")</f>
        <v>Jyotsna</v>
      </c>
      <c r="G6" s="7">
        <f>IF(_xlfn.XLOOKUP($C6,ALL!$C$2:$C$341,ALL!H$2:H$341)&lt;&gt;"",_xlfn.XLOOKUP($C6,ALL!$C$2:$C$341,ALL!H$2:H$341),"")</f>
        <v>46111</v>
      </c>
      <c r="H6" s="9" t="str">
        <f>IF(_xlfn.XLOOKUP($C6,ALL!$C$2:$C$341,ALL!I$2:I$341)&lt;&gt;"",_xlfn.XLOOKUP($C6,ALL!$C$2:$C$341,ALL!I$2:I$341),"")</f>
        <v>IVR D; INC</v>
      </c>
      <c r="I6" s="9" t="str">
        <f>IF(_xlfn.XLOOKUP($C6,ALL!$C$2:$C$341,ALL!J$2:J$341)&lt;&gt;"",_xlfn.XLOOKUP($C6,ALL!$C$2:$C$341,ALL!J$2:J$341),"")</f>
        <v/>
      </c>
      <c r="J6" s="7">
        <f>IF(_xlfn.XLOOKUP($C6,ALL!$C$2:$C$341,ALL!K$2:K$341)&lt;&gt;"",_xlfn.XLOOKUP($C6,ALL!$C$2:$C$341,ALL!K$2:K$341),"")</f>
        <v>46476</v>
      </c>
      <c r="K6" s="8" t="str">
        <f>IF(_xlfn.XLOOKUP($C6,ALL!$C$2:$C$341,ALL!L$2:L$341)&lt;&gt;"",_xlfn.XLOOKUP($C6,ALL!$C$2:$C$341,ALL!L$2:L$341),"")</f>
        <v>Nagamuni Reddy</v>
      </c>
      <c r="L6" s="8">
        <f>IF(_xlfn.XLOOKUP($C6,ALL!$C$2:$C$341,ALL!M$2:M$341)&lt;&gt;"",_xlfn.XLOOKUP($C6,ALL!$C$2:$C$341,ALL!M$2:M$341),"")</f>
        <v>9663692990</v>
      </c>
      <c r="M6" s="8" t="str">
        <f>IF(_xlfn.XLOOKUP($C6,ALL!$C$2:$C$341,ALL!N$2:N$341)&lt;&gt;"",_xlfn.XLOOKUP($C6,ALL!$C$2:$C$341,ALL!N$2:N$341),"")</f>
        <v>compliance@ssdpl.in;nagamuni.reddy@ssdpl.in</v>
      </c>
      <c r="N6" s="8" t="str">
        <f>IF(_xlfn.XLOOKUP($C6,ALL!$C$2:$C$341,ALL!O$2:O$341)&lt;&gt;"",_xlfn.XLOOKUP($C6,ALL!$C$2:$C$341,ALL!O$2:O$341),"")</f>
        <v/>
      </c>
    </row>
    <row r="7" spans="1:14" ht="19.2" customHeight="1" x14ac:dyDescent="0.3">
      <c r="A7" s="99">
        <f ca="1">IF(_xlfn.XLOOKUP($C7,ALL!$C$2:$C$341,ALL!A$2:A$341)&lt;&gt;"",_xlfn.XLOOKUP($C7,ALL!$C$2:$C$341,ALL!A$2:A$341),"")</f>
        <v>-175</v>
      </c>
      <c r="B7" s="15" t="b">
        <f>IF(_xlfn.XLOOKUP($C7,ALL!$C$2:$C$341,ALL!B$2:B$341)&lt;&gt;"",_xlfn.XLOOKUP($C7,ALL!$C$2:$C$341,ALL!B$2:B$341),"")</f>
        <v>0</v>
      </c>
      <c r="C7" s="92" t="s">
        <v>211</v>
      </c>
      <c r="D7" s="90" t="str">
        <f>IF(_xlfn.XLOOKUP($C7,ALL!$C$2:$C$341,ALL!D$2:D$341)&lt;&gt;"",_xlfn.XLOOKUP($C7,ALL!$C$2:$C$341,ALL!D$2:D$341),"")</f>
        <v/>
      </c>
      <c r="E7" s="9" t="str">
        <f>IF(_xlfn.XLOOKUP($C7,ALL!$C$2:$C$341,ALL!F$2:F$341)&lt;&gt;"",_xlfn.XLOOKUP($C7,ALL!$C$2:$C$341,ALL!F$2:F$341),"")</f>
        <v>Nikita</v>
      </c>
      <c r="F7" s="9" t="str">
        <f>IF(_xlfn.XLOOKUP($C7,ALL!$C$2:$C$341,ALL!G$2:G$341)&lt;&gt;"",_xlfn.XLOOKUP($C7,ALL!$C$2:$C$341,ALL!G$2:G$341),"")</f>
        <v>Jyotsna</v>
      </c>
      <c r="G7" s="7">
        <f>IF(_xlfn.XLOOKUP($C7,ALL!$C$2:$C$341,ALL!H$2:H$341)&lt;&gt;"",_xlfn.XLOOKUP($C7,ALL!$C$2:$C$341,ALL!H$2:H$341),"")</f>
        <v>46126</v>
      </c>
      <c r="H7" s="9" t="str">
        <f>IF(_xlfn.XLOOKUP($C7,ALL!$C$2:$C$341,ALL!I$2:I$341)&lt;&gt;"",_xlfn.XLOOKUP($C7,ALL!$C$2:$C$341,ALL!I$2:I$341),"")</f>
        <v>IVR B- /Negative; INC</v>
      </c>
      <c r="I7" s="9" t="str">
        <f>IF(_xlfn.XLOOKUP($C7,ALL!$C$2:$C$341,ALL!J$2:J$341)&lt;&gt;"",_xlfn.XLOOKUP($C7,ALL!$C$2:$C$341,ALL!J$2:J$341),"")</f>
        <v/>
      </c>
      <c r="J7" s="7">
        <f>IF(_xlfn.XLOOKUP($C7,ALL!$C$2:$C$341,ALL!K$2:K$341)&lt;&gt;"",_xlfn.XLOOKUP($C7,ALL!$C$2:$C$341,ALL!K$2:K$341),"")</f>
        <v>46491</v>
      </c>
      <c r="K7" s="8" t="str">
        <f>IF(_xlfn.XLOOKUP($C7,ALL!$C$2:$C$341,ALL!L$2:L$341)&lt;&gt;"",_xlfn.XLOOKUP($C7,ALL!$C$2:$C$341,ALL!L$2:L$341),"")</f>
        <v>Nagamuni Reddy</v>
      </c>
      <c r="L7" s="8">
        <f>IF(_xlfn.XLOOKUP($C7,ALL!$C$2:$C$341,ALL!M$2:M$341)&lt;&gt;"",_xlfn.XLOOKUP($C7,ALL!$C$2:$C$341,ALL!M$2:M$341),"")</f>
        <v>9663692990</v>
      </c>
      <c r="M7" s="8" t="str">
        <f>IF(_xlfn.XLOOKUP($C7,ALL!$C$2:$C$341,ALL!N$2:N$341)&lt;&gt;"",_xlfn.XLOOKUP($C7,ALL!$C$2:$C$341,ALL!N$2:N$341),"")</f>
        <v>compliance@ssdpl.in;nagamuni.reddy@ssdpl.in</v>
      </c>
      <c r="N7" s="8" t="str">
        <f>IF(_xlfn.XLOOKUP($C7,ALL!$C$2:$C$341,ALL!O$2:O$341)&lt;&gt;"",_xlfn.XLOOKUP($C7,ALL!$C$2:$C$341,ALL!O$2:O$341),"")</f>
        <v/>
      </c>
    </row>
    <row r="8" spans="1:14" ht="19.2" customHeight="1" x14ac:dyDescent="0.3">
      <c r="A8" s="99">
        <f ca="1">IF(_xlfn.XLOOKUP($C8,ALL!$C$2:$C$341,ALL!A$2:A$341)&lt;&gt;"",_xlfn.XLOOKUP($C8,ALL!$C$2:$C$341,ALL!A$2:A$341),"")</f>
        <v>-245</v>
      </c>
      <c r="B8" s="15" t="b">
        <f>IF(_xlfn.XLOOKUP($C8,ALL!$C$2:$C$341,ALL!B$2:B$341)&lt;&gt;"",_xlfn.XLOOKUP($C8,ALL!$C$2:$C$341,ALL!B$2:B$341),"")</f>
        <v>1</v>
      </c>
      <c r="C8" s="92" t="s">
        <v>681</v>
      </c>
      <c r="D8" s="90">
        <f>IF(_xlfn.XLOOKUP($C8,ALL!$C$2:$C$341,ALL!D$2:D$341)&lt;&gt;"",_xlfn.XLOOKUP($C8,ALL!$C$2:$C$341,ALL!D$2:D$341),"")</f>
        <v>302</v>
      </c>
      <c r="E8" s="9" t="str">
        <f>IF(_xlfn.XLOOKUP($C8,ALL!$C$2:$C$341,ALL!F$2:F$341)&lt;&gt;"",_xlfn.XLOOKUP($C8,ALL!$C$2:$C$341,ALL!F$2:F$341),"")</f>
        <v>Shubham Hande</v>
      </c>
      <c r="F8" s="9" t="str">
        <f>IF(_xlfn.XLOOKUP($C8,ALL!$C$2:$C$341,ALL!G$2:G$341)&lt;&gt;"",_xlfn.XLOOKUP($C8,ALL!$C$2:$C$341,ALL!G$2:G$341),"")</f>
        <v>Amey Joshi</v>
      </c>
      <c r="G8" s="7">
        <f>IF(_xlfn.XLOOKUP($C8,ALL!$C$2:$C$341,ALL!H$2:H$341)&lt;&gt;"",_xlfn.XLOOKUP($C8,ALL!$C$2:$C$341,ALL!H$2:H$341),"")</f>
        <v>46196</v>
      </c>
      <c r="H8" s="9" t="str">
        <f>IF(_xlfn.XLOOKUP($C8,ALL!$C$2:$C$341,ALL!I$2:I$341)&lt;&gt;"",_xlfn.XLOOKUP($C8,ALL!$C$2:$C$341,ALL!I$2:I$341),"")</f>
        <v>IVR D (INC)</v>
      </c>
      <c r="I8" s="9" t="str">
        <f>IF(_xlfn.XLOOKUP($C8,ALL!$C$2:$C$341,ALL!J$2:J$341)&lt;&gt;"",_xlfn.XLOOKUP($C8,ALL!$C$2:$C$341,ALL!J$2:J$341),"")</f>
        <v>NA</v>
      </c>
      <c r="J8" s="7">
        <f>IF(_xlfn.XLOOKUP($C8,ALL!$C$2:$C$341,ALL!K$2:K$341)&lt;&gt;"",_xlfn.XLOOKUP($C8,ALL!$C$2:$C$341,ALL!K$2:K$341),"")</f>
        <v>46561</v>
      </c>
      <c r="K8" s="8" t="str">
        <f>IF(_xlfn.XLOOKUP($C8,ALL!$C$2:$C$341,ALL!L$2:L$341)&lt;&gt;"",_xlfn.XLOOKUP($C8,ALL!$C$2:$C$341,ALL!L$2:L$341),"")</f>
        <v xml:space="preserve"> -</v>
      </c>
      <c r="L8" s="8" t="str">
        <f>IF(_xlfn.XLOOKUP($C8,ALL!$C$2:$C$341,ALL!M$2:M$341)&lt;&gt;"",_xlfn.XLOOKUP($C8,ALL!$C$2:$C$341,ALL!M$2:M$341),"")</f>
        <v xml:space="preserve"> -</v>
      </c>
      <c r="M8" s="8" t="str">
        <f>IF(_xlfn.XLOOKUP($C8,ALL!$C$2:$C$341,ALL!N$2:N$341)&lt;&gt;"",_xlfn.XLOOKUP($C8,ALL!$C$2:$C$341,ALL!N$2:N$341),"")</f>
        <v>yogeshwarn@radiusdevelopers.com</v>
      </c>
      <c r="N8" s="8" t="str">
        <f>IF(_xlfn.XLOOKUP($C8,ALL!$C$2:$C$341,ALL!O$2:O$341)&lt;&gt;"",_xlfn.XLOOKUP($C8,ALL!$C$2:$C$341,ALL!O$2:O$341),"")</f>
        <v/>
      </c>
    </row>
    <row r="9" spans="1:14" ht="19.2" customHeight="1" x14ac:dyDescent="0.3">
      <c r="A9" s="99">
        <f ca="1">IF(_xlfn.XLOOKUP($C9,ALL!$C$2:$C$341,ALL!A$2:A$341)&lt;&gt;"",_xlfn.XLOOKUP($C9,ALL!$C$2:$C$341,ALL!A$2:A$341),"")</f>
        <v>-258</v>
      </c>
      <c r="B9" s="15" t="b">
        <f>IF(_xlfn.XLOOKUP($C9,ALL!$C$2:$C$341,ALL!B$2:B$341)&lt;&gt;"",_xlfn.XLOOKUP($C9,ALL!$C$2:$C$341,ALL!B$2:B$341),"")</f>
        <v>1</v>
      </c>
      <c r="C9" s="92" t="s">
        <v>861</v>
      </c>
      <c r="D9" s="90">
        <f>IF(_xlfn.XLOOKUP($C9,ALL!$C$2:$C$341,ALL!D$2:D$341)&lt;&gt;"",_xlfn.XLOOKUP($C9,ALL!$C$2:$C$341,ALL!D$2:D$341),"")</f>
        <v>82.38</v>
      </c>
      <c r="E9" s="9" t="str">
        <f>IF(_xlfn.XLOOKUP($C9,ALL!$C$2:$C$341,ALL!F$2:F$341)&lt;&gt;"",_xlfn.XLOOKUP($C9,ALL!$C$2:$C$341,ALL!F$2:F$341),"")</f>
        <v>Pratik Prabhu</v>
      </c>
      <c r="F9" s="9" t="str">
        <f>IF(_xlfn.XLOOKUP($C9,ALL!$C$2:$C$341,ALL!G$2:G$341)&lt;&gt;"",_xlfn.XLOOKUP($C9,ALL!$C$2:$C$341,ALL!G$2:G$341),"")</f>
        <v>Sudarshan Shreenivas</v>
      </c>
      <c r="G9" s="7">
        <f>IF(_xlfn.XLOOKUP($C9,ALL!$C$2:$C$341,ALL!H$2:H$341)&lt;&gt;"",_xlfn.XLOOKUP($C9,ALL!$C$2:$C$341,ALL!H$2:H$341),"")</f>
        <v>46209</v>
      </c>
      <c r="H9" s="9" t="str">
        <f>IF(_xlfn.XLOOKUP($C9,ALL!$C$2:$C$341,ALL!I$2:I$341)&lt;&gt;"",_xlfn.XLOOKUP($C9,ALL!$C$2:$C$341,ALL!I$2:I$341),"")</f>
        <v>IVR B+ /Negative; INC</v>
      </c>
      <c r="I9" s="9" t="str">
        <f>IF(_xlfn.XLOOKUP($C9,ALL!$C$2:$C$341,ALL!J$2:J$341)&lt;&gt;"",_xlfn.XLOOKUP($C9,ALL!$C$2:$C$341,ALL!J$2:J$341),"")</f>
        <v/>
      </c>
      <c r="J9" s="7">
        <f>IF(_xlfn.XLOOKUP($C9,ALL!$C$2:$C$341,ALL!K$2:K$341)&lt;&gt;"",_xlfn.XLOOKUP($C9,ALL!$C$2:$C$341,ALL!K$2:K$341),"")</f>
        <v>46574</v>
      </c>
      <c r="K9" s="8" t="str">
        <f>IF(_xlfn.XLOOKUP($C9,ALL!$C$2:$C$341,ALL!L$2:L$341)&lt;&gt;"",_xlfn.XLOOKUP($C9,ALL!$C$2:$C$341,ALL!L$2:L$341),"")</f>
        <v>1.	Ms. Sowmya Nayak – Mobile no : 9880942696 , 2.	Mr. Renjith RS – Mobile no.: 7625092517 , 5.	Ms. Reshmi Nair– Mobile no. : 9970747234</v>
      </c>
      <c r="L9" s="8" t="str">
        <f>IF(_xlfn.XLOOKUP($C9,ALL!$C$2:$C$341,ALL!M$2:M$341)&lt;&gt;"",_xlfn.XLOOKUP($C9,ALL!$C$2:$C$341,ALL!M$2:M$341),"")</f>
        <v/>
      </c>
      <c r="M9" s="8" t="str">
        <f>IF(_xlfn.XLOOKUP($C9,ALL!$C$2:$C$341,ALL!N$2:N$341)&lt;&gt;"",_xlfn.XLOOKUP($C9,ALL!$C$2:$C$341,ALL!N$2:N$341),"")</f>
        <v>sowmya.nayak@manipalgroup.info, renjith.rs@manipalgroup.info, kiran.shetty@primacyind.com, kamath@primacyind.com</v>
      </c>
      <c r="N9" s="8" t="str">
        <f>IF(_xlfn.XLOOKUP($C9,ALL!$C$2:$C$341,ALL!O$2:O$341)&lt;&gt;"",_xlfn.XLOOKUP($C9,ALL!$C$2:$C$341,ALL!O$2:O$341),"")</f>
        <v/>
      </c>
    </row>
    <row r="10" spans="1:14" ht="19.2" customHeight="1" x14ac:dyDescent="0.3">
      <c r="A10" s="99">
        <f ca="1">IF(_xlfn.XLOOKUP($C10,ALL!$C$2:$C$341,ALL!A$2:A$341)&lt;&gt;"",_xlfn.XLOOKUP($C10,ALL!$C$2:$C$341,ALL!A$2:A$341),"")</f>
        <v>-288</v>
      </c>
      <c r="B10" s="15" t="b">
        <f>IF(_xlfn.XLOOKUP($C10,ALL!$C$2:$C$341,ALL!B$2:B$341)&lt;&gt;"",_xlfn.XLOOKUP($C10,ALL!$C$2:$C$341,ALL!B$2:B$341),"")</f>
        <v>1</v>
      </c>
      <c r="C10" s="92" t="s">
        <v>798</v>
      </c>
      <c r="D10" s="90">
        <f>IF(_xlfn.XLOOKUP($C10,ALL!$C$2:$C$341,ALL!D$2:D$341)&lt;&gt;"",_xlfn.XLOOKUP($C10,ALL!$C$2:$C$341,ALL!D$2:D$341),"")</f>
        <v>60</v>
      </c>
      <c r="E10" s="9" t="str">
        <f>IF(_xlfn.XLOOKUP($C10,ALL!$C$2:$C$341,ALL!F$2:F$341)&lt;&gt;"",_xlfn.XLOOKUP($C10,ALL!$C$2:$C$341,ALL!F$2:F$341),"")</f>
        <v xml:space="preserve">Manan </v>
      </c>
      <c r="F10" s="9" t="str">
        <f>IF(_xlfn.XLOOKUP($C10,ALL!$C$2:$C$341,ALL!G$2:G$341)&lt;&gt;"",_xlfn.XLOOKUP($C10,ALL!$C$2:$C$341,ALL!G$2:G$341),"")</f>
        <v>Amey Joshi</v>
      </c>
      <c r="G10" s="7">
        <f>IF(_xlfn.XLOOKUP($C10,ALL!$C$2:$C$341,ALL!H$2:H$341)&lt;&gt;"",_xlfn.XLOOKUP($C10,ALL!$C$2:$C$341,ALL!H$2:H$341),"")</f>
        <v>46239</v>
      </c>
      <c r="H10" s="9" t="str">
        <f>IF(_xlfn.XLOOKUP($C10,ALL!$C$2:$C$341,ALL!I$2:I$341)&lt;&gt;"",_xlfn.XLOOKUP($C10,ALL!$C$2:$C$341,ALL!I$2:I$341),"")</f>
        <v>IVR D; INC</v>
      </c>
      <c r="I10" s="9" t="str">
        <f>IF(_xlfn.XLOOKUP($C10,ALL!$C$2:$C$341,ALL!J$2:J$341)&lt;&gt;"",_xlfn.XLOOKUP($C10,ALL!$C$2:$C$341,ALL!J$2:J$341),"")</f>
        <v>IVR D; INC</v>
      </c>
      <c r="J10" s="7">
        <f>IF(_xlfn.XLOOKUP($C10,ALL!$C$2:$C$341,ALL!K$2:K$341)&lt;&gt;"",_xlfn.XLOOKUP($C10,ALL!$C$2:$C$341,ALL!K$2:K$341),"")</f>
        <v>46604</v>
      </c>
      <c r="K10" s="8" t="str">
        <f>IF(_xlfn.XLOOKUP($C10,ALL!$C$2:$C$341,ALL!L$2:L$341)&lt;&gt;"",_xlfn.XLOOKUP($C10,ALL!$C$2:$C$341,ALL!L$2:L$341),"")</f>
        <v>KAPIL GUPTA</v>
      </c>
      <c r="L10" s="8">
        <f>IF(_xlfn.XLOOKUP($C10,ALL!$C$2:$C$341,ALL!M$2:M$341)&lt;&gt;"",_xlfn.XLOOKUP($C10,ALL!$C$2:$C$341,ALL!M$2:M$341),"")</f>
        <v>9324943984</v>
      </c>
      <c r="M10" s="8" t="str">
        <f>IF(_xlfn.XLOOKUP($C10,ALL!$C$2:$C$341,ALL!N$2:N$341)&lt;&gt;"",_xlfn.XLOOKUP($C10,ALL!$C$2:$C$341,ALL!N$2:N$341),"")</f>
        <v>accounts.iml@inditrade.com</v>
      </c>
      <c r="N10" s="8" t="str">
        <f>IF(_xlfn.XLOOKUP($C10,ALL!$C$2:$C$341,ALL!O$2:O$341)&lt;&gt;"",_xlfn.XLOOKUP($C10,ALL!$C$2:$C$341,ALL!O$2:O$341),"")</f>
        <v/>
      </c>
    </row>
    <row r="11" spans="1:14" ht="19.2" customHeight="1" x14ac:dyDescent="0.3">
      <c r="A11" s="99">
        <f ca="1">IF(_xlfn.XLOOKUP($C11,ALL!$C$2:$C$341,ALL!A$2:A$341)&lt;&gt;"",_xlfn.XLOOKUP($C11,ALL!$C$2:$C$341,ALL!A$2:A$341),"")</f>
        <v>-289</v>
      </c>
      <c r="B11" s="15" t="b">
        <f>IF(_xlfn.XLOOKUP($C11,ALL!$C$2:$C$341,ALL!B$2:B$341)&lt;&gt;"",_xlfn.XLOOKUP($C11,ALL!$C$2:$C$341,ALL!B$2:B$341),"")</f>
        <v>1</v>
      </c>
      <c r="C11" s="92" t="s">
        <v>802</v>
      </c>
      <c r="D11" s="90">
        <f>IF(_xlfn.XLOOKUP($C11,ALL!$C$2:$C$341,ALL!D$2:D$341)&lt;&gt;"",_xlfn.XLOOKUP($C11,ALL!$C$2:$C$341,ALL!D$2:D$341),"")</f>
        <v>547.47</v>
      </c>
      <c r="E11" s="9" t="str">
        <f>IF(_xlfn.XLOOKUP($C11,ALL!$C$2:$C$341,ALL!F$2:F$341)&lt;&gt;"",_xlfn.XLOOKUP($C11,ALL!$C$2:$C$341,ALL!F$2:F$341),"")</f>
        <v>Rahul Kadwe</v>
      </c>
      <c r="F11" s="9" t="str">
        <f>IF(_xlfn.XLOOKUP($C11,ALL!$C$2:$C$341,ALL!G$2:G$341)&lt;&gt;"",_xlfn.XLOOKUP($C11,ALL!$C$2:$C$341,ALL!G$2:G$341),"")</f>
        <v>Amey Joshi</v>
      </c>
      <c r="G11" s="7">
        <f>IF(_xlfn.XLOOKUP($C11,ALL!$C$2:$C$341,ALL!H$2:H$341)&lt;&gt;"",_xlfn.XLOOKUP($C11,ALL!$C$2:$C$341,ALL!H$2:H$341),"")</f>
        <v>46240</v>
      </c>
      <c r="H11" s="9" t="str">
        <f>IF(_xlfn.XLOOKUP($C11,ALL!$C$2:$C$341,ALL!I$2:I$341)&lt;&gt;"",_xlfn.XLOOKUP($C11,ALL!$C$2:$C$341,ALL!I$2:I$341),"")</f>
        <v>IVR D; INC</v>
      </c>
      <c r="I11" s="9" t="str">
        <f>IF(_xlfn.XLOOKUP($C11,ALL!$C$2:$C$341,ALL!J$2:J$341)&lt;&gt;"",_xlfn.XLOOKUP($C11,ALL!$C$2:$C$341,ALL!J$2:J$341),"")</f>
        <v>IVR D; INC</v>
      </c>
      <c r="J11" s="7">
        <f>IF(_xlfn.XLOOKUP($C11,ALL!$C$2:$C$341,ALL!K$2:K$341)&lt;&gt;"",_xlfn.XLOOKUP($C11,ALL!$C$2:$C$341,ALL!K$2:K$341),"")</f>
        <v>46605</v>
      </c>
      <c r="K11" s="8" t="str">
        <f>IF(_xlfn.XLOOKUP($C11,ALL!$C$2:$C$341,ALL!L$2:L$341)&lt;&gt;"",_xlfn.XLOOKUP($C11,ALL!$C$2:$C$341,ALL!L$2:L$341),"")</f>
        <v>Angela Sarna</v>
      </c>
      <c r="L11" s="8">
        <f>IF(_xlfn.XLOOKUP($C11,ALL!$C$2:$C$341,ALL!M$2:M$341)&lt;&gt;"",_xlfn.XLOOKUP($C11,ALL!$C$2:$C$341,ALL!M$2:M$341),"")</f>
        <v>9582704847</v>
      </c>
      <c r="M11" s="8" t="str">
        <f>IF(_xlfn.XLOOKUP($C11,ALL!$C$2:$C$341,ALL!N$2:N$341)&lt;&gt;"",_xlfn.XLOOKUP($C11,ALL!$C$2:$C$341,ALL!N$2:N$341),"")</f>
        <v>angela.sarna@revfin.in</v>
      </c>
      <c r="N11" s="8" t="str">
        <f>IF(_xlfn.XLOOKUP($C11,ALL!$C$2:$C$341,ALL!O$2:O$341)&lt;&gt;"",_xlfn.XLOOKUP($C11,ALL!$C$2:$C$341,ALL!O$2:O$341),"")</f>
        <v/>
      </c>
    </row>
    <row r="12" spans="1:14" ht="19.2" customHeight="1" x14ac:dyDescent="0.3">
      <c r="A12" s="99">
        <f ca="1">IF(_xlfn.XLOOKUP($C12,ALL!$C$2:$C$341,ALL!A$2:A$341)&lt;&gt;"",_xlfn.XLOOKUP($C12,ALL!$C$2:$C$341,ALL!A$2:A$341),"")</f>
        <v>-290</v>
      </c>
      <c r="B12" s="15" t="b">
        <f>IF(_xlfn.XLOOKUP($C12,ALL!$C$2:$C$341,ALL!B$2:B$341)&lt;&gt;"",_xlfn.XLOOKUP($C12,ALL!$C$2:$C$341,ALL!B$2:B$341),"")</f>
        <v>1</v>
      </c>
      <c r="C12" s="8" t="s">
        <v>804</v>
      </c>
      <c r="D12" s="90">
        <f>IF(_xlfn.XLOOKUP($C12,ALL!$C$2:$C$341,ALL!D$2:D$341)&lt;&gt;"",_xlfn.XLOOKUP($C12,ALL!$C$2:$C$341,ALL!D$2:D$341),"")</f>
        <v>50</v>
      </c>
      <c r="E12" s="9" t="str">
        <f>IF(_xlfn.XLOOKUP($C12,ALL!$C$2:$C$341,ALL!F$2:F$341)&lt;&gt;"",_xlfn.XLOOKUP($C12,ALL!$C$2:$C$341,ALL!F$2:F$341),"")</f>
        <v>Nilesh Gupta</v>
      </c>
      <c r="F12" s="9" t="str">
        <f>IF(_xlfn.XLOOKUP($C12,ALL!$C$2:$C$341,ALL!G$2:G$341)&lt;&gt;"",_xlfn.XLOOKUP($C12,ALL!$C$2:$C$341,ALL!G$2:G$341),"")</f>
        <v>Amey Joshi</v>
      </c>
      <c r="G12" s="7">
        <f>IF(_xlfn.XLOOKUP($C12,ALL!$C$2:$C$341,ALL!H$2:H$341)&lt;&gt;"",_xlfn.XLOOKUP($C12,ALL!$C$2:$C$341,ALL!H$2:H$341),"")</f>
        <v>46241</v>
      </c>
      <c r="H12" s="9" t="str">
        <f>IF(_xlfn.XLOOKUP($C12,ALL!$C$2:$C$341,ALL!I$2:I$341)&lt;&gt;"",_xlfn.XLOOKUP($C12,ALL!$C$2:$C$341,ALL!I$2:I$341),"")</f>
        <v>IVR D; INC</v>
      </c>
      <c r="I12" s="9" t="str">
        <f>IF(_xlfn.XLOOKUP($C12,ALL!$C$2:$C$341,ALL!J$2:J$341)&lt;&gt;"",_xlfn.XLOOKUP($C12,ALL!$C$2:$C$341,ALL!J$2:J$341),"")</f>
        <v/>
      </c>
      <c r="J12" s="7">
        <f>IF(_xlfn.XLOOKUP($C12,ALL!$C$2:$C$341,ALL!K$2:K$341)&lt;&gt;"",_xlfn.XLOOKUP($C12,ALL!$C$2:$C$341,ALL!K$2:K$341),"")</f>
        <v>46606</v>
      </c>
      <c r="K12" s="8" t="str">
        <f>IF(_xlfn.XLOOKUP($C12,ALL!$C$2:$C$341,ALL!L$2:L$341)&lt;&gt;"",_xlfn.XLOOKUP($C12,ALL!$C$2:$C$341,ALL!L$2:L$341),"")</f>
        <v/>
      </c>
      <c r="L12" s="8" t="str">
        <f>IF(_xlfn.XLOOKUP($C12,ALL!$C$2:$C$341,ALL!M$2:M$341)&lt;&gt;"",_xlfn.XLOOKUP($C12,ALL!$C$2:$C$341,ALL!M$2:M$341),"")</f>
        <v/>
      </c>
      <c r="M12" s="8" t="str">
        <f>IF(_xlfn.XLOOKUP($C12,ALL!$C$2:$C$341,ALL!N$2:N$341)&lt;&gt;"",_xlfn.XLOOKUP($C12,ALL!$C$2:$C$341,ALL!N$2:N$341),"")</f>
        <v>ankit.shah@shethcreators.com</v>
      </c>
      <c r="N12" s="8" t="str">
        <f>IF(_xlfn.XLOOKUP($C12,ALL!$C$2:$C$341,ALL!O$2:O$341)&lt;&gt;"",_xlfn.XLOOKUP($C12,ALL!$C$2:$C$341,ALL!O$2:O$341),"")</f>
        <v/>
      </c>
    </row>
    <row r="13" spans="1:14" ht="19.2" customHeight="1" x14ac:dyDescent="0.3">
      <c r="A13" s="99">
        <f ca="1">IF(_xlfn.XLOOKUP($C13,ALL!$C$2:$C$341,ALL!A$2:A$341)&lt;&gt;"",_xlfn.XLOOKUP($C13,ALL!$C$2:$C$341,ALL!A$2:A$341),"")</f>
        <v>-324</v>
      </c>
      <c r="B13" s="15" t="b">
        <f>IF(_xlfn.XLOOKUP($C13,ALL!$C$2:$C$341,ALL!B$2:B$341)&lt;&gt;"",_xlfn.XLOOKUP($C13,ALL!$C$2:$C$341,ALL!B$2:B$341),"")</f>
        <v>1</v>
      </c>
      <c r="C13" s="92" t="s">
        <v>182</v>
      </c>
      <c r="D13" s="90">
        <f>IF(_xlfn.XLOOKUP($C13,ALL!$C$2:$C$341,ALL!D$2:D$341)&lt;&gt;"",_xlfn.XLOOKUP($C13,ALL!$C$2:$C$341,ALL!D$2:D$341),"")</f>
        <v>276.77</v>
      </c>
      <c r="E13" s="9" t="str">
        <f>IF(_xlfn.XLOOKUP($C13,ALL!$C$2:$C$341,ALL!F$2:F$341)&lt;&gt;"",_xlfn.XLOOKUP($C13,ALL!$C$2:$C$341,ALL!F$2:F$341),"")</f>
        <v>Milan Purohit</v>
      </c>
      <c r="F13" s="9" t="str">
        <f>IF(_xlfn.XLOOKUP($C13,ALL!$C$2:$C$341,ALL!G$2:G$341)&lt;&gt;"",_xlfn.XLOOKUP($C13,ALL!$C$2:$C$341,ALL!G$2:G$341),"")</f>
        <v>Amey Joshi</v>
      </c>
      <c r="G13" s="7">
        <f>IF(_xlfn.XLOOKUP($C13,ALL!$C$2:$C$341,ALL!H$2:H$341)&lt;&gt;"",_xlfn.XLOOKUP($C13,ALL!$C$2:$C$341,ALL!H$2:H$341),"")</f>
        <v>46275</v>
      </c>
      <c r="H13" s="9" t="str">
        <f>IF(_xlfn.XLOOKUP($C13,ALL!$C$2:$C$341,ALL!I$2:I$341)&lt;&gt;"",_xlfn.XLOOKUP($C13,ALL!$C$2:$C$341,ALL!I$2:I$341),"")</f>
        <v>IVR D; INC</v>
      </c>
      <c r="I13" s="9" t="str">
        <f>IF(_xlfn.XLOOKUP($C13,ALL!$C$2:$C$341,ALL!J$2:J$341)&lt;&gt;"",_xlfn.XLOOKUP($C13,ALL!$C$2:$C$341,ALL!J$2:J$341),"")</f>
        <v/>
      </c>
      <c r="J13" s="7">
        <f>IF(_xlfn.XLOOKUP($C13,ALL!$C$2:$C$341,ALL!K$2:K$341)&lt;&gt;"",_xlfn.XLOOKUP($C13,ALL!$C$2:$C$341,ALL!K$2:K$341),"")</f>
        <v>46640</v>
      </c>
      <c r="K13" s="8" t="str">
        <f>IF(_xlfn.XLOOKUP($C13,ALL!$C$2:$C$341,ALL!L$2:L$341)&lt;&gt;"",_xlfn.XLOOKUP($C13,ALL!$C$2:$C$341,ALL!L$2:L$341),"")</f>
        <v/>
      </c>
      <c r="L13" s="8" t="str">
        <f>IF(_xlfn.XLOOKUP($C13,ALL!$C$2:$C$341,ALL!M$2:M$341)&lt;&gt;"",_xlfn.XLOOKUP($C13,ALL!$C$2:$C$341,ALL!M$2:M$341),"")</f>
        <v/>
      </c>
      <c r="M13" s="8" t="str">
        <f>IF(_xlfn.XLOOKUP($C13,ALL!$C$2:$C$341,ALL!N$2:N$341)&lt;&gt;"",_xlfn.XLOOKUP($C13,ALL!$C$2:$C$341,ALL!N$2:N$341),"")</f>
        <v>sonal.bajaj@arthmate.com</v>
      </c>
      <c r="N13" s="8" t="str">
        <f>IF(_xlfn.XLOOKUP($C13,ALL!$C$2:$C$341,ALL!O$2:O$341)&lt;&gt;"",_xlfn.XLOOKUP($C13,ALL!$C$2:$C$341,ALL!O$2:O$341),"")</f>
        <v/>
      </c>
    </row>
    <row r="14" spans="1:14" ht="19.2" customHeight="1" x14ac:dyDescent="0.3">
      <c r="A14" s="99">
        <f ca="1">IF(_xlfn.XLOOKUP($C14,ALL!$C$2:$C$341,ALL!A$2:A$341)&lt;&gt;"",_xlfn.XLOOKUP($C14,ALL!$C$2:$C$341,ALL!A$2:A$341),"")</f>
        <v>-330</v>
      </c>
      <c r="B14" s="15" t="b">
        <f>IF(_xlfn.XLOOKUP($C14,ALL!$C$2:$C$341,ALL!B$2:B$341)&lt;&gt;"",_xlfn.XLOOKUP($C14,ALL!$C$2:$C$341,ALL!B$2:B$341),"")</f>
        <v>1</v>
      </c>
      <c r="C14" s="93" t="s">
        <v>54</v>
      </c>
      <c r="D14" s="90">
        <f>IF(_xlfn.XLOOKUP($C14,ALL!$C$2:$C$341,ALL!D$2:D$341)&lt;&gt;"",_xlfn.XLOOKUP($C14,ALL!$C$2:$C$341,ALL!D$2:D$341),"")</f>
        <v>1800</v>
      </c>
      <c r="E14" s="9" t="str">
        <f>IF(_xlfn.XLOOKUP($C14,ALL!$C$2:$C$341,ALL!F$2:F$341)&lt;&gt;"",_xlfn.XLOOKUP($C14,ALL!$C$2:$C$341,ALL!F$2:F$341),"")</f>
        <v>Milan Purohit</v>
      </c>
      <c r="F14" s="9" t="str">
        <f>IF(_xlfn.XLOOKUP($C14,ALL!$C$2:$C$341,ALL!G$2:G$341)&lt;&gt;"",_xlfn.XLOOKUP($C14,ALL!$C$2:$C$341,ALL!G$2:G$341),"")</f>
        <v>Amey Joshi</v>
      </c>
      <c r="G14" s="7">
        <f>IF(_xlfn.XLOOKUP($C14,ALL!$C$2:$C$341,ALL!H$2:H$341)&lt;&gt;"",_xlfn.XLOOKUP($C14,ALL!$C$2:$C$341,ALL!H$2:H$341),"")</f>
        <v>46281</v>
      </c>
      <c r="H14" s="9" t="str">
        <f>IF(_xlfn.XLOOKUP($C14,ALL!$C$2:$C$341,ALL!I$2:I$341)&lt;&gt;"",_xlfn.XLOOKUP($C14,ALL!$C$2:$C$341,ALL!I$2:I$341),"")</f>
        <v/>
      </c>
      <c r="I14" s="9" t="str">
        <f>IF(_xlfn.XLOOKUP($C14,ALL!$C$2:$C$341,ALL!J$2:J$341)&lt;&gt;"",_xlfn.XLOOKUP($C14,ALL!$C$2:$C$341,ALL!J$2:J$341),"")</f>
        <v>IVR A4; INC</v>
      </c>
      <c r="J14" s="7">
        <f>IF(_xlfn.XLOOKUP($C14,ALL!$C$2:$C$341,ALL!K$2:K$341)&lt;&gt;"",_xlfn.XLOOKUP($C14,ALL!$C$2:$C$341,ALL!K$2:K$341),"")</f>
        <v>46646</v>
      </c>
      <c r="K14" s="8" t="str">
        <f>IF(_xlfn.XLOOKUP($C14,ALL!$C$2:$C$341,ALL!L$2:L$341)&lt;&gt;"",_xlfn.XLOOKUP($C14,ALL!$C$2:$C$341,ALL!L$2:L$341),"")</f>
        <v>Ashish Sharma</v>
      </c>
      <c r="L14" s="8" t="str">
        <f>IF(_xlfn.XLOOKUP($C14,ALL!$C$2:$C$341,ALL!M$2:M$341)&lt;&gt;"",_xlfn.XLOOKUP($C14,ALL!$C$2:$C$341,ALL!M$2:M$341),"")</f>
        <v/>
      </c>
      <c r="M14" s="8" t="str">
        <f>IF(_xlfn.XLOOKUP($C14,ALL!$C$2:$C$341,ALL!N$2:N$341)&lt;&gt;"",_xlfn.XLOOKUP($C14,ALL!$C$2:$C$341,ALL!N$2:N$341),"")</f>
        <v>ganapathy@shareindia.com</v>
      </c>
      <c r="N14" s="8" t="str">
        <f>IF(_xlfn.XLOOKUP($C14,ALL!$C$2:$C$341,ALL!O$2:O$341)&lt;&gt;"",_xlfn.XLOOKUP($C14,ALL!$C$2:$C$341,ALL!O$2:O$341),"")</f>
        <v/>
      </c>
    </row>
    <row r="15" spans="1:14" ht="19.2" customHeight="1" x14ac:dyDescent="0.3">
      <c r="A15" s="99">
        <f ca="1">IF(_xlfn.XLOOKUP($C15,ALL!$C$2:$C$341,ALL!A$2:A$341)&lt;&gt;"",_xlfn.XLOOKUP($C15,ALL!$C$2:$C$341,ALL!A$2:A$341),"")</f>
        <v>-330</v>
      </c>
      <c r="B15" s="15" t="b">
        <f>IF(_xlfn.XLOOKUP($C15,ALL!$C$2:$C$341,ALL!B$2:B$341)&lt;&gt;"",_xlfn.XLOOKUP($C15,ALL!$C$2:$C$341,ALL!B$2:B$341),"")</f>
        <v>1</v>
      </c>
      <c r="C15" s="8" t="s">
        <v>837</v>
      </c>
      <c r="D15" s="90">
        <f>IF(_xlfn.XLOOKUP($C15,ALL!$C$2:$C$341,ALL!D$2:D$341)&lt;&gt;"",_xlfn.XLOOKUP($C15,ALL!$C$2:$C$341,ALL!D$2:D$341),"")</f>
        <v>422.83</v>
      </c>
      <c r="E15" s="9" t="str">
        <f>IF(_xlfn.XLOOKUP($C15,ALL!$C$2:$C$341,ALL!F$2:F$341)&lt;&gt;"",_xlfn.XLOOKUP($C15,ALL!$C$2:$C$341,ALL!F$2:F$341),"")</f>
        <v>Rajsee Warang</v>
      </c>
      <c r="F15" s="9" t="str">
        <f>IF(_xlfn.XLOOKUP($C15,ALL!$C$2:$C$341,ALL!G$2:G$341)&lt;&gt;"",_xlfn.XLOOKUP($C15,ALL!$C$2:$C$341,ALL!G$2:G$341),"")</f>
        <v>Jyotsna</v>
      </c>
      <c r="G15" s="7">
        <f>IF(_xlfn.XLOOKUP($C15,ALL!$C$2:$C$341,ALL!H$2:H$341)&lt;&gt;"",_xlfn.XLOOKUP($C15,ALL!$C$2:$C$341,ALL!H$2:H$341),"")</f>
        <v>46281</v>
      </c>
      <c r="H15" s="9" t="str">
        <f>IF(_xlfn.XLOOKUP($C15,ALL!$C$2:$C$341,ALL!I$2:I$341)&lt;&gt;"",_xlfn.XLOOKUP($C15,ALL!$C$2:$C$341,ALL!I$2:I$341),"")</f>
        <v>IVR D; INC</v>
      </c>
      <c r="I15" s="9" t="str">
        <f>IF(_xlfn.XLOOKUP($C15,ALL!$C$2:$C$341,ALL!J$2:J$341)&lt;&gt;"",_xlfn.XLOOKUP($C15,ALL!$C$2:$C$341,ALL!J$2:J$341),"")</f>
        <v>IVR D; INC</v>
      </c>
      <c r="J15" s="7">
        <f>IF(_xlfn.XLOOKUP($C15,ALL!$C$2:$C$341,ALL!K$2:K$341)&lt;&gt;"",_xlfn.XLOOKUP($C15,ALL!$C$2:$C$341,ALL!K$2:K$341),"")</f>
        <v>46646</v>
      </c>
      <c r="K15" s="8" t="str">
        <f>IF(_xlfn.XLOOKUP($C15,ALL!$C$2:$C$341,ALL!L$2:L$341)&lt;&gt;"",_xlfn.XLOOKUP($C15,ALL!$C$2:$C$341,ALL!L$2:L$341),"")</f>
        <v>Manish Dhir and Rakesh Gupta</v>
      </c>
      <c r="L15" s="8" t="str">
        <f>IF(_xlfn.XLOOKUP($C15,ALL!$C$2:$C$341,ALL!M$2:M$341)&lt;&gt;"",_xlfn.XLOOKUP($C15,ALL!$C$2:$C$341,ALL!M$2:M$341),"")</f>
        <v>9823861621 and 9810091515</v>
      </c>
      <c r="M15" s="8" t="str">
        <f>IF(_xlfn.XLOOKUP($C15,ALL!$C$2:$C$341,ALL!N$2:N$341)&lt;&gt;"",_xlfn.XLOOKUP($C15,ALL!$C$2:$C$341,ALL!N$2:N$341),"")</f>
        <v>r.k.gupta@apolloindia.com</v>
      </c>
      <c r="N15" s="8"/>
    </row>
    <row r="16" spans="1:14" ht="19.2" customHeight="1" x14ac:dyDescent="0.3">
      <c r="A16" s="99" t="str">
        <f>IF(_xlfn.XLOOKUP($C16,ALL!$C$2:$C$341,ALL!A$2:A$341)&lt;&gt;"",_xlfn.XLOOKUP($C16,ALL!$C$2:$C$341,ALL!A$2:A$341),"")</f>
        <v>Live</v>
      </c>
      <c r="B16" s="15" t="b">
        <f>IF(_xlfn.XLOOKUP($C16,ALL!$C$2:$C$341,ALL!B$2:B$341)&lt;&gt;"",_xlfn.XLOOKUP($C16,ALL!$C$2:$C$341,ALL!B$2:B$341),"")</f>
        <v>0</v>
      </c>
      <c r="C16" s="8" t="s">
        <v>180</v>
      </c>
      <c r="D16" s="90" t="str">
        <f>IF(_xlfn.XLOOKUP($C16,ALL!$C$2:$C$341,ALL!D$2:D$341)&lt;&gt;"",_xlfn.XLOOKUP($C16,ALL!$C$2:$C$341,ALL!D$2:D$341),"")</f>
        <v/>
      </c>
      <c r="E16" s="9" t="str">
        <f>IF(_xlfn.XLOOKUP($C16,ALL!$C$2:$C$341,ALL!F$2:F$341)&lt;&gt;"",_xlfn.XLOOKUP($C16,ALL!$C$2:$C$341,ALL!F$2:F$341),"")</f>
        <v xml:space="preserve">Manan </v>
      </c>
      <c r="F16" s="9" t="str">
        <f>IF(_xlfn.XLOOKUP($C16,ALL!$C$2:$C$341,ALL!G$2:G$341)&lt;&gt;"",_xlfn.XLOOKUP($C16,ALL!$C$2:$C$341,ALL!G$2:G$341),"")</f>
        <v>Amey Joshi</v>
      </c>
      <c r="G16" s="7" t="str">
        <f>IF(_xlfn.XLOOKUP($C16,ALL!$C$2:$C$341,ALL!H$2:H$341)&lt;&gt;"",_xlfn.XLOOKUP($C16,ALL!$C$2:$C$341,ALL!H$2:H$341),"")</f>
        <v/>
      </c>
      <c r="H16" s="9" t="str">
        <f>IF(_xlfn.XLOOKUP($C16,ALL!$C$2:$C$341,ALL!I$2:I$341)&lt;&gt;"",_xlfn.XLOOKUP($C16,ALL!$C$2:$C$341,ALL!I$2:I$341),"")</f>
        <v>IVR BB- INC</v>
      </c>
      <c r="I16" s="9" t="str">
        <f>IF(_xlfn.XLOOKUP($C16,ALL!$C$2:$C$341,ALL!J$2:J$341)&lt;&gt;"",_xlfn.XLOOKUP($C16,ALL!$C$2:$C$341,ALL!J$2:J$341),"")</f>
        <v/>
      </c>
      <c r="J16" s="7" t="str">
        <f>IF(_xlfn.XLOOKUP($C16,ALL!$C$2:$C$341,ALL!K$2:K$341)&lt;&gt;"",_xlfn.XLOOKUP($C16,ALL!$C$2:$C$341,ALL!K$2:K$341),"")</f>
        <v/>
      </c>
      <c r="K16" s="8" t="str">
        <f>IF(_xlfn.XLOOKUP($C16,ALL!$C$2:$C$341,ALL!L$2:L$341)&lt;&gt;"",_xlfn.XLOOKUP($C16,ALL!$C$2:$C$341,ALL!L$2:L$341),"")</f>
        <v xml:space="preserve">Nikitha - Accts manager </v>
      </c>
      <c r="L16" s="8">
        <f>IF(_xlfn.XLOOKUP($C16,ALL!$C$2:$C$341,ALL!M$2:M$341)&lt;&gt;"",_xlfn.XLOOKUP($C16,ALL!$C$2:$C$341,ALL!M$2:M$341),"")</f>
        <v>8086928283</v>
      </c>
      <c r="M16" s="8" t="str">
        <f>IF(_xlfn.XLOOKUP($C16,ALL!$C$2:$C$341,ALL!N$2:N$341)&lt;&gt;"",_xlfn.XLOOKUP($C16,ALL!$C$2:$C$341,ALL!N$2:N$341),"")</f>
        <v>accmgr2@iclfincorp.com</v>
      </c>
      <c r="N16" s="8" t="str">
        <f>IF(_xlfn.XLOOKUP($C16,ALL!$C$2:$C$341,ALL!O$2:O$341)&lt;&gt;"",_xlfn.XLOOKUP($C16,ALL!$C$2:$C$341,ALL!O$2:O$341),"")</f>
        <v/>
      </c>
    </row>
    <row r="17" spans="1:14" ht="19.2" customHeight="1" x14ac:dyDescent="0.3">
      <c r="A17" s="100" t="str">
        <f>IF(_xlfn.XLOOKUP($C17,ALL!$C$2:$C$341,ALL!A$2:A$341)&lt;&gt;"",_xlfn.XLOOKUP($C17,ALL!$C$2:$C$341,ALL!A$2:A$341),"")</f>
        <v/>
      </c>
      <c r="B17" s="94" t="str">
        <f>IF(_xlfn.XLOOKUP($C17,ALL!$C$2:$C$341,ALL!B$2:B$341)&lt;&gt;"",_xlfn.XLOOKUP($C17,ALL!$C$2:$C$341,ALL!B$2:B$341),"")</f>
        <v/>
      </c>
      <c r="D17" s="69" t="str">
        <f>IF(_xlfn.XLOOKUP($C17,ALL!$C$2:$C$341,ALL!D$2:D$341)&lt;&gt;"",_xlfn.XLOOKUP($C17,ALL!$C$2:$C$341,ALL!D$2:D$341),"")</f>
        <v/>
      </c>
      <c r="E17" s="69" t="str">
        <f>IF(_xlfn.XLOOKUP($C17,ALL!$C$2:$C$341,ALL!F$2:F$341)&lt;&gt;"",_xlfn.XLOOKUP($C17,ALL!$C$2:$C$341,ALL!F$2:F$341),"")</f>
        <v/>
      </c>
      <c r="F17" s="69" t="str">
        <f>IF(_xlfn.XLOOKUP($C17,ALL!$C$2:$C$341,ALL!G$2:G$341)&lt;&gt;"",_xlfn.XLOOKUP($C17,ALL!$C$2:$C$341,ALL!G$2:G$341),"")</f>
        <v/>
      </c>
      <c r="G17" s="70" t="str">
        <f>IF(_xlfn.XLOOKUP($C17,ALL!$C$2:$C$341,ALL!H$2:H$341)&lt;&gt;"",_xlfn.XLOOKUP($C17,ALL!$C$2:$C$341,ALL!H$2:H$341),"")</f>
        <v/>
      </c>
      <c r="H17" s="69" t="str">
        <f>IF(_xlfn.XLOOKUP($C17,ALL!$C$2:$C$341,ALL!I$2:I$341)&lt;&gt;"",_xlfn.XLOOKUP($C17,ALL!$C$2:$C$341,ALL!I$2:I$341),"")</f>
        <v/>
      </c>
      <c r="I17" s="69" t="str">
        <f>IF(_xlfn.XLOOKUP($C17,ALL!$C$2:$C$341,ALL!J$2:J$341)&lt;&gt;"",_xlfn.XLOOKUP($C17,ALL!$C$2:$C$341,ALL!J$2:J$341),"")</f>
        <v/>
      </c>
      <c r="J17" s="70" t="str">
        <f>IF(_xlfn.XLOOKUP($C17,ALL!$C$2:$C$341,ALL!K$2:K$341)&lt;&gt;"",_xlfn.XLOOKUP($C17,ALL!$C$2:$C$341,ALL!K$2:K$341),"")</f>
        <v/>
      </c>
      <c r="K17" s="4" t="str">
        <f>IF(_xlfn.XLOOKUP($C17,ALL!$C$2:$C$341,ALL!L$2:L$341)&lt;&gt;"",_xlfn.XLOOKUP($C17,ALL!$C$2:$C$341,ALL!L$2:L$341),"")</f>
        <v/>
      </c>
      <c r="L17" s="4" t="str">
        <f>IF(_xlfn.XLOOKUP($C17,ALL!$C$2:$C$341,ALL!M$2:M$341)&lt;&gt;"",_xlfn.XLOOKUP($C17,ALL!$C$2:$C$341,ALL!M$2:M$341),"")</f>
        <v/>
      </c>
      <c r="M17" s="4" t="str">
        <f>IF(_xlfn.XLOOKUP($C17,ALL!$C$2:$C$341,ALL!N$2:N$341)&lt;&gt;"",_xlfn.XLOOKUP($C17,ALL!$C$2:$C$341,ALL!N$2:N$341),"")</f>
        <v/>
      </c>
      <c r="N17" s="4" t="str">
        <f>IF(_xlfn.XLOOKUP($C17,ALL!$C$2:$C$341,ALL!O$2:O$341)&lt;&gt;"",_xlfn.XLOOKUP($C17,ALL!$C$2:$C$341,ALL!O$2:O$341),"")</f>
        <v/>
      </c>
    </row>
    <row r="18" spans="1:14" ht="19.2" customHeight="1" x14ac:dyDescent="0.3">
      <c r="A18" s="100" t="str">
        <f>IF(_xlfn.XLOOKUP($C18,ALL!$C$2:$C$341,ALL!A$2:A$341)&lt;&gt;"",_xlfn.XLOOKUP($C18,ALL!$C$2:$C$341,ALL!A$2:A$341),"")</f>
        <v/>
      </c>
      <c r="B18" s="94" t="str">
        <f>IF(_xlfn.XLOOKUP($C18,ALL!$C$2:$C$341,ALL!B$2:B$341)&lt;&gt;"",_xlfn.XLOOKUP($C18,ALL!$C$2:$C$341,ALL!B$2:B$341),"")</f>
        <v/>
      </c>
      <c r="D18" s="69" t="str">
        <f>IF(_xlfn.XLOOKUP($C18,ALL!$C$2:$C$341,ALL!D$2:D$341)&lt;&gt;"",_xlfn.XLOOKUP($C18,ALL!$C$2:$C$341,ALL!D$2:D$341),"")</f>
        <v/>
      </c>
      <c r="E18" s="69" t="str">
        <f>IF(_xlfn.XLOOKUP($C18,ALL!$C$2:$C$341,ALL!F$2:F$341)&lt;&gt;"",_xlfn.XLOOKUP($C18,ALL!$C$2:$C$341,ALL!F$2:F$341),"")</f>
        <v/>
      </c>
      <c r="F18" s="69" t="str">
        <f>IF(_xlfn.XLOOKUP($C18,ALL!$C$2:$C$341,ALL!G$2:G$341)&lt;&gt;"",_xlfn.XLOOKUP($C18,ALL!$C$2:$C$341,ALL!G$2:G$341),"")</f>
        <v/>
      </c>
      <c r="G18" s="70" t="str">
        <f>IF(_xlfn.XLOOKUP($C18,ALL!$C$2:$C$341,ALL!H$2:H$341)&lt;&gt;"",_xlfn.XLOOKUP($C18,ALL!$C$2:$C$341,ALL!H$2:H$341),"")</f>
        <v/>
      </c>
      <c r="H18" s="69" t="str">
        <f>IF(_xlfn.XLOOKUP($C18,ALL!$C$2:$C$341,ALL!I$2:I$341)&lt;&gt;"",_xlfn.XLOOKUP($C18,ALL!$C$2:$C$341,ALL!I$2:I$341),"")</f>
        <v/>
      </c>
      <c r="I18" s="69" t="str">
        <f>IF(_xlfn.XLOOKUP($C18,ALL!$C$2:$C$341,ALL!J$2:J$341)&lt;&gt;"",_xlfn.XLOOKUP($C18,ALL!$C$2:$C$341,ALL!J$2:J$341),"")</f>
        <v/>
      </c>
      <c r="J18" s="70" t="str">
        <f>IF(_xlfn.XLOOKUP($C18,ALL!$C$2:$C$341,ALL!K$2:K$341)&lt;&gt;"",_xlfn.XLOOKUP($C18,ALL!$C$2:$C$341,ALL!K$2:K$341),"")</f>
        <v/>
      </c>
      <c r="K18" s="4" t="str">
        <f>IF(_xlfn.XLOOKUP($C18,ALL!$C$2:$C$341,ALL!L$2:L$341)&lt;&gt;"",_xlfn.XLOOKUP($C18,ALL!$C$2:$C$341,ALL!L$2:L$341),"")</f>
        <v/>
      </c>
      <c r="L18" s="4" t="str">
        <f>IF(_xlfn.XLOOKUP($C18,ALL!$C$2:$C$341,ALL!M$2:M$341)&lt;&gt;"",_xlfn.XLOOKUP($C18,ALL!$C$2:$C$341,ALL!M$2:M$341),"")</f>
        <v/>
      </c>
      <c r="M18" s="4" t="str">
        <f>IF(_xlfn.XLOOKUP($C18,ALL!$C$2:$C$341,ALL!N$2:N$341)&lt;&gt;"",_xlfn.XLOOKUP($C18,ALL!$C$2:$C$341,ALL!N$2:N$341),"")</f>
        <v/>
      </c>
      <c r="N18" s="4" t="str">
        <f>IF(_xlfn.XLOOKUP($C18,ALL!$C$2:$C$341,ALL!O$2:O$341)&lt;&gt;"",_xlfn.XLOOKUP($C18,ALL!$C$2:$C$341,ALL!O$2:O$341),"")</f>
        <v/>
      </c>
    </row>
    <row r="19" spans="1:14" ht="19.2" customHeight="1" x14ac:dyDescent="0.3">
      <c r="A19" s="100" t="str">
        <f>IF(_xlfn.XLOOKUP($C19,ALL!$C$2:$C$341,ALL!A$2:A$341)&lt;&gt;"",_xlfn.XLOOKUP($C19,ALL!$C$2:$C$341,ALL!A$2:A$341),"")</f>
        <v/>
      </c>
      <c r="B19" s="94" t="str">
        <f>IF(_xlfn.XLOOKUP($C19,ALL!$C$2:$C$341,ALL!B$2:B$341)&lt;&gt;"",_xlfn.XLOOKUP($C19,ALL!$C$2:$C$341,ALL!B$2:B$341),"")</f>
        <v/>
      </c>
      <c r="D19" s="69" t="str">
        <f>IF(_xlfn.XLOOKUP($C19,ALL!$C$2:$C$341,ALL!D$2:D$341)&lt;&gt;"",_xlfn.XLOOKUP($C19,ALL!$C$2:$C$341,ALL!D$2:D$341),"")</f>
        <v/>
      </c>
      <c r="E19" s="69" t="str">
        <f>IF(_xlfn.XLOOKUP($C19,ALL!$C$2:$C$341,ALL!F$2:F$341)&lt;&gt;"",_xlfn.XLOOKUP($C19,ALL!$C$2:$C$341,ALL!F$2:F$341),"")</f>
        <v/>
      </c>
      <c r="F19" s="69" t="str">
        <f>IF(_xlfn.XLOOKUP($C19,ALL!$C$2:$C$341,ALL!G$2:G$341)&lt;&gt;"",_xlfn.XLOOKUP($C19,ALL!$C$2:$C$341,ALL!G$2:G$341),"")</f>
        <v/>
      </c>
      <c r="G19" s="70" t="str">
        <f>IF(_xlfn.XLOOKUP($C19,ALL!$C$2:$C$341,ALL!H$2:H$341)&lt;&gt;"",_xlfn.XLOOKUP($C19,ALL!$C$2:$C$341,ALL!H$2:H$341),"")</f>
        <v/>
      </c>
      <c r="H19" s="69" t="str">
        <f>IF(_xlfn.XLOOKUP($C19,ALL!$C$2:$C$341,ALL!I$2:I$341)&lt;&gt;"",_xlfn.XLOOKUP($C19,ALL!$C$2:$C$341,ALL!I$2:I$341),"")</f>
        <v/>
      </c>
      <c r="I19" s="69" t="str">
        <f>IF(_xlfn.XLOOKUP($C19,ALL!$C$2:$C$341,ALL!J$2:J$341)&lt;&gt;"",_xlfn.XLOOKUP($C19,ALL!$C$2:$C$341,ALL!J$2:J$341),"")</f>
        <v/>
      </c>
      <c r="J19" s="70" t="str">
        <f>IF(_xlfn.XLOOKUP($C19,ALL!$C$2:$C$341,ALL!K$2:K$341)&lt;&gt;"",_xlfn.XLOOKUP($C19,ALL!$C$2:$C$341,ALL!K$2:K$341),"")</f>
        <v/>
      </c>
      <c r="K19" s="4" t="str">
        <f>IF(_xlfn.XLOOKUP($C19,ALL!$C$2:$C$341,ALL!L$2:L$341)&lt;&gt;"",_xlfn.XLOOKUP($C19,ALL!$C$2:$C$341,ALL!L$2:L$341),"")</f>
        <v/>
      </c>
      <c r="L19" s="4" t="str">
        <f>IF(_xlfn.XLOOKUP($C19,ALL!$C$2:$C$341,ALL!M$2:M$341)&lt;&gt;"",_xlfn.XLOOKUP($C19,ALL!$C$2:$C$341,ALL!M$2:M$341),"")</f>
        <v/>
      </c>
      <c r="M19" s="4" t="str">
        <f>IF(_xlfn.XLOOKUP($C19,ALL!$C$2:$C$341,ALL!N$2:N$341)&lt;&gt;"",_xlfn.XLOOKUP($C19,ALL!$C$2:$C$341,ALL!N$2:N$341),"")</f>
        <v/>
      </c>
      <c r="N19" s="4" t="str">
        <f>IF(_xlfn.XLOOKUP($C19,ALL!$C$2:$C$341,ALL!O$2:O$341)&lt;&gt;"",_xlfn.XLOOKUP($C19,ALL!$C$2:$C$341,ALL!O$2:O$341),"")</f>
        <v/>
      </c>
    </row>
    <row r="20" spans="1:14" ht="19.2" customHeight="1" x14ac:dyDescent="0.3">
      <c r="A20" s="100" t="str">
        <f>IF(_xlfn.XLOOKUP($C20,ALL!$C$2:$C$341,ALL!A$2:A$341)&lt;&gt;"",_xlfn.XLOOKUP($C20,ALL!$C$2:$C$341,ALL!A$2:A$341),"")</f>
        <v/>
      </c>
      <c r="B20" s="94" t="str">
        <f>IF(_xlfn.XLOOKUP($C20,ALL!$C$2:$C$341,ALL!B$2:B$341)&lt;&gt;"",_xlfn.XLOOKUP($C20,ALL!$C$2:$C$341,ALL!B$2:B$341),"")</f>
        <v/>
      </c>
      <c r="D20" s="69" t="str">
        <f>IF(_xlfn.XLOOKUP($C20,ALL!$C$2:$C$341,ALL!D$2:D$341)&lt;&gt;"",_xlfn.XLOOKUP($C20,ALL!$C$2:$C$341,ALL!D$2:D$341),"")</f>
        <v/>
      </c>
      <c r="E20" s="69" t="str">
        <f>IF(_xlfn.XLOOKUP($C20,ALL!$C$2:$C$341,ALL!F$2:F$341)&lt;&gt;"",_xlfn.XLOOKUP($C20,ALL!$C$2:$C$341,ALL!F$2:F$341),"")</f>
        <v/>
      </c>
      <c r="F20" s="69" t="str">
        <f>IF(_xlfn.XLOOKUP($C20,ALL!$C$2:$C$341,ALL!G$2:G$341)&lt;&gt;"",_xlfn.XLOOKUP($C20,ALL!$C$2:$C$341,ALL!G$2:G$341),"")</f>
        <v/>
      </c>
      <c r="G20" s="70" t="str">
        <f>IF(_xlfn.XLOOKUP($C20,ALL!$C$2:$C$341,ALL!H$2:H$341)&lt;&gt;"",_xlfn.XLOOKUP($C20,ALL!$C$2:$C$341,ALL!H$2:H$341),"")</f>
        <v/>
      </c>
      <c r="H20" s="69" t="str">
        <f>IF(_xlfn.XLOOKUP($C20,ALL!$C$2:$C$341,ALL!I$2:I$341)&lt;&gt;"",_xlfn.XLOOKUP($C20,ALL!$C$2:$C$341,ALL!I$2:I$341),"")</f>
        <v/>
      </c>
      <c r="I20" s="69" t="str">
        <f>IF(_xlfn.XLOOKUP($C20,ALL!$C$2:$C$341,ALL!J$2:J$341)&lt;&gt;"",_xlfn.XLOOKUP($C20,ALL!$C$2:$C$341,ALL!J$2:J$341),"")</f>
        <v/>
      </c>
      <c r="J20" s="70" t="str">
        <f>IF(_xlfn.XLOOKUP($C20,ALL!$C$2:$C$341,ALL!K$2:K$341)&lt;&gt;"",_xlfn.XLOOKUP($C20,ALL!$C$2:$C$341,ALL!K$2:K$341),"")</f>
        <v/>
      </c>
      <c r="K20" s="4" t="str">
        <f>IF(_xlfn.XLOOKUP($C20,ALL!$C$2:$C$341,ALL!L$2:L$341)&lt;&gt;"",_xlfn.XLOOKUP($C20,ALL!$C$2:$C$341,ALL!L$2:L$341),"")</f>
        <v/>
      </c>
      <c r="L20" s="4" t="str">
        <f>IF(_xlfn.XLOOKUP($C20,ALL!$C$2:$C$341,ALL!M$2:M$341)&lt;&gt;"",_xlfn.XLOOKUP($C20,ALL!$C$2:$C$341,ALL!M$2:M$341),"")</f>
        <v/>
      </c>
      <c r="M20" s="4" t="str">
        <f>IF(_xlfn.XLOOKUP($C20,ALL!$C$2:$C$341,ALL!N$2:N$341)&lt;&gt;"",_xlfn.XLOOKUP($C20,ALL!$C$2:$C$341,ALL!N$2:N$341),"")</f>
        <v/>
      </c>
      <c r="N20" s="4" t="str">
        <f>IF(_xlfn.XLOOKUP($C20,ALL!$C$2:$C$341,ALL!O$2:O$341)&lt;&gt;"",_xlfn.XLOOKUP($C20,ALL!$C$2:$C$341,ALL!O$2:O$341),"")</f>
        <v/>
      </c>
    </row>
    <row r="21" spans="1:14" ht="19.2" customHeight="1" x14ac:dyDescent="0.3">
      <c r="A21" s="100" t="str">
        <f>IF(_xlfn.XLOOKUP($C21,ALL!$C$2:$C$341,ALL!A$2:A$341)&lt;&gt;"",_xlfn.XLOOKUP($C21,ALL!$C$2:$C$341,ALL!A$2:A$341),"")</f>
        <v/>
      </c>
      <c r="B21" s="94" t="str">
        <f>IF(_xlfn.XLOOKUP($C21,ALL!$C$2:$C$341,ALL!B$2:B$341)&lt;&gt;"",_xlfn.XLOOKUP($C21,ALL!$C$2:$C$341,ALL!B$2:B$341),"")</f>
        <v/>
      </c>
      <c r="D21" s="69" t="str">
        <f>IF(_xlfn.XLOOKUP($C21,ALL!$C$2:$C$341,ALL!D$2:D$341)&lt;&gt;"",_xlfn.XLOOKUP($C21,ALL!$C$2:$C$341,ALL!D$2:D$341),"")</f>
        <v/>
      </c>
      <c r="E21" s="69" t="str">
        <f>IF(_xlfn.XLOOKUP($C21,ALL!$C$2:$C$341,ALL!F$2:F$341)&lt;&gt;"",_xlfn.XLOOKUP($C21,ALL!$C$2:$C$341,ALL!F$2:F$341),"")</f>
        <v/>
      </c>
      <c r="F21" s="69" t="str">
        <f>IF(_xlfn.XLOOKUP($C21,ALL!$C$2:$C$341,ALL!G$2:G$341)&lt;&gt;"",_xlfn.XLOOKUP($C21,ALL!$C$2:$C$341,ALL!G$2:G$341),"")</f>
        <v/>
      </c>
      <c r="G21" s="70" t="str">
        <f>IF(_xlfn.XLOOKUP($C21,ALL!$C$2:$C$341,ALL!H$2:H$341)&lt;&gt;"",_xlfn.XLOOKUP($C21,ALL!$C$2:$C$341,ALL!H$2:H$341),"")</f>
        <v/>
      </c>
      <c r="H21" s="69" t="str">
        <f>IF(_xlfn.XLOOKUP($C21,ALL!$C$2:$C$341,ALL!I$2:I$341)&lt;&gt;"",_xlfn.XLOOKUP($C21,ALL!$C$2:$C$341,ALL!I$2:I$341),"")</f>
        <v/>
      </c>
      <c r="I21" s="69" t="str">
        <f>IF(_xlfn.XLOOKUP($C21,ALL!$C$2:$C$341,ALL!J$2:J$341)&lt;&gt;"",_xlfn.XLOOKUP($C21,ALL!$C$2:$C$341,ALL!J$2:J$341),"")</f>
        <v/>
      </c>
      <c r="J21" s="70" t="str">
        <f>IF(_xlfn.XLOOKUP($C21,ALL!$C$2:$C$341,ALL!K$2:K$341)&lt;&gt;"",_xlfn.XLOOKUP($C21,ALL!$C$2:$C$341,ALL!K$2:K$341),"")</f>
        <v/>
      </c>
      <c r="K21" s="4" t="str">
        <f>IF(_xlfn.XLOOKUP($C21,ALL!$C$2:$C$341,ALL!L$2:L$341)&lt;&gt;"",_xlfn.XLOOKUP($C21,ALL!$C$2:$C$341,ALL!L$2:L$341),"")</f>
        <v/>
      </c>
      <c r="L21" s="4" t="str">
        <f>IF(_xlfn.XLOOKUP($C21,ALL!$C$2:$C$341,ALL!M$2:M$341)&lt;&gt;"",_xlfn.XLOOKUP($C21,ALL!$C$2:$C$341,ALL!M$2:M$341),"")</f>
        <v/>
      </c>
      <c r="M21" s="4" t="str">
        <f>IF(_xlfn.XLOOKUP($C21,ALL!$C$2:$C$341,ALL!N$2:N$341)&lt;&gt;"",_xlfn.XLOOKUP($C21,ALL!$C$2:$C$341,ALL!N$2:N$341),"")</f>
        <v/>
      </c>
      <c r="N21" s="4" t="str">
        <f>IF(_xlfn.XLOOKUP($C21,ALL!$C$2:$C$341,ALL!O$2:O$341)&lt;&gt;"",_xlfn.XLOOKUP($C21,ALL!$C$2:$C$341,ALL!O$2:O$341),"")</f>
        <v/>
      </c>
    </row>
    <row r="22" spans="1:14" ht="19.2" customHeight="1" x14ac:dyDescent="0.3">
      <c r="A22" s="100" t="str">
        <f>IF(_xlfn.XLOOKUP($C22,ALL!$C$2:$C$341,ALL!A$2:A$341)&lt;&gt;"",_xlfn.XLOOKUP($C22,ALL!$C$2:$C$341,ALL!A$2:A$341),"")</f>
        <v/>
      </c>
      <c r="B22" s="94" t="str">
        <f>IF(_xlfn.XLOOKUP($C22,ALL!$C$2:$C$341,ALL!B$2:B$341)&lt;&gt;"",_xlfn.XLOOKUP($C22,ALL!$C$2:$C$341,ALL!B$2:B$341),"")</f>
        <v/>
      </c>
      <c r="D22" s="69" t="str">
        <f>IF(_xlfn.XLOOKUP($C22,ALL!$C$2:$C$341,ALL!D$2:D$341)&lt;&gt;"",_xlfn.XLOOKUP($C22,ALL!$C$2:$C$341,ALL!D$2:D$341),"")</f>
        <v/>
      </c>
      <c r="E22" s="69" t="str">
        <f>IF(_xlfn.XLOOKUP($C22,ALL!$C$2:$C$341,ALL!F$2:F$341)&lt;&gt;"",_xlfn.XLOOKUP($C22,ALL!$C$2:$C$341,ALL!F$2:F$341),"")</f>
        <v/>
      </c>
      <c r="F22" s="69" t="str">
        <f>IF(_xlfn.XLOOKUP($C22,ALL!$C$2:$C$341,ALL!G$2:G$341)&lt;&gt;"",_xlfn.XLOOKUP($C22,ALL!$C$2:$C$341,ALL!G$2:G$341),"")</f>
        <v/>
      </c>
      <c r="G22" s="70" t="str">
        <f>IF(_xlfn.XLOOKUP($C22,ALL!$C$2:$C$341,ALL!H$2:H$341)&lt;&gt;"",_xlfn.XLOOKUP($C22,ALL!$C$2:$C$341,ALL!H$2:H$341),"")</f>
        <v/>
      </c>
      <c r="H22" s="69" t="str">
        <f>IF(_xlfn.XLOOKUP($C22,ALL!$C$2:$C$341,ALL!I$2:I$341)&lt;&gt;"",_xlfn.XLOOKUP($C22,ALL!$C$2:$C$341,ALL!I$2:I$341),"")</f>
        <v/>
      </c>
      <c r="I22" s="69" t="str">
        <f>IF(_xlfn.XLOOKUP($C22,ALL!$C$2:$C$341,ALL!J$2:J$341)&lt;&gt;"",_xlfn.XLOOKUP($C22,ALL!$C$2:$C$341,ALL!J$2:J$341),"")</f>
        <v/>
      </c>
      <c r="J22" s="70" t="str">
        <f>IF(_xlfn.XLOOKUP($C22,ALL!$C$2:$C$341,ALL!K$2:K$341)&lt;&gt;"",_xlfn.XLOOKUP($C22,ALL!$C$2:$C$341,ALL!K$2:K$341),"")</f>
        <v/>
      </c>
      <c r="K22" s="4" t="str">
        <f>IF(_xlfn.XLOOKUP($C22,ALL!$C$2:$C$341,ALL!L$2:L$341)&lt;&gt;"",_xlfn.XLOOKUP($C22,ALL!$C$2:$C$341,ALL!L$2:L$341),"")</f>
        <v/>
      </c>
      <c r="L22" s="4" t="str">
        <f>IF(_xlfn.XLOOKUP($C22,ALL!$C$2:$C$341,ALL!M$2:M$341)&lt;&gt;"",_xlfn.XLOOKUP($C22,ALL!$C$2:$C$341,ALL!M$2:M$341),"")</f>
        <v/>
      </c>
      <c r="M22" s="4" t="str">
        <f>IF(_xlfn.XLOOKUP($C22,ALL!$C$2:$C$341,ALL!N$2:N$341)&lt;&gt;"",_xlfn.XLOOKUP($C22,ALL!$C$2:$C$341,ALL!N$2:N$341),"")</f>
        <v/>
      </c>
      <c r="N22" s="4" t="str">
        <f>IF(_xlfn.XLOOKUP($C22,ALL!$C$2:$C$341,ALL!O$2:O$341)&lt;&gt;"",_xlfn.XLOOKUP($C22,ALL!$C$2:$C$341,ALL!O$2:O$341),"")</f>
        <v/>
      </c>
    </row>
    <row r="23" spans="1:14" ht="19.2" customHeight="1" x14ac:dyDescent="0.3">
      <c r="A23" s="100" t="str">
        <f>IF(_xlfn.XLOOKUP($C23,ALL!$C$2:$C$341,ALL!A$2:A$341)&lt;&gt;"",_xlfn.XLOOKUP($C23,ALL!$C$2:$C$341,ALL!A$2:A$341),"")</f>
        <v/>
      </c>
      <c r="B23" s="94" t="str">
        <f>IF(_xlfn.XLOOKUP($C23,ALL!$C$2:$C$341,ALL!B$2:B$341)&lt;&gt;"",_xlfn.XLOOKUP($C23,ALL!$C$2:$C$341,ALL!B$2:B$341),"")</f>
        <v/>
      </c>
      <c r="D23" s="69" t="str">
        <f>IF(_xlfn.XLOOKUP($C23,ALL!$C$2:$C$341,ALL!D$2:D$341)&lt;&gt;"",_xlfn.XLOOKUP($C23,ALL!$C$2:$C$341,ALL!D$2:D$341),"")</f>
        <v/>
      </c>
      <c r="E23" s="69" t="str">
        <f>IF(_xlfn.XLOOKUP($C23,ALL!$C$2:$C$341,ALL!F$2:F$341)&lt;&gt;"",_xlfn.XLOOKUP($C23,ALL!$C$2:$C$341,ALL!F$2:F$341),"")</f>
        <v/>
      </c>
      <c r="F23" s="69" t="str">
        <f>IF(_xlfn.XLOOKUP($C23,ALL!$C$2:$C$341,ALL!G$2:G$341)&lt;&gt;"",_xlfn.XLOOKUP($C23,ALL!$C$2:$C$341,ALL!G$2:G$341),"")</f>
        <v/>
      </c>
      <c r="G23" s="70" t="str">
        <f>IF(_xlfn.XLOOKUP($C23,ALL!$C$2:$C$341,ALL!H$2:H$341)&lt;&gt;"",_xlfn.XLOOKUP($C23,ALL!$C$2:$C$341,ALL!H$2:H$341),"")</f>
        <v/>
      </c>
      <c r="H23" s="69" t="str">
        <f>IF(_xlfn.XLOOKUP($C23,ALL!$C$2:$C$341,ALL!I$2:I$341)&lt;&gt;"",_xlfn.XLOOKUP($C23,ALL!$C$2:$C$341,ALL!I$2:I$341),"")</f>
        <v/>
      </c>
      <c r="I23" s="69" t="str">
        <f>IF(_xlfn.XLOOKUP($C23,ALL!$C$2:$C$341,ALL!J$2:J$341)&lt;&gt;"",_xlfn.XLOOKUP($C23,ALL!$C$2:$C$341,ALL!J$2:J$341),"")</f>
        <v/>
      </c>
      <c r="J23" s="70" t="str">
        <f>IF(_xlfn.XLOOKUP($C23,ALL!$C$2:$C$341,ALL!K$2:K$341)&lt;&gt;"",_xlfn.XLOOKUP($C23,ALL!$C$2:$C$341,ALL!K$2:K$341),"")</f>
        <v/>
      </c>
      <c r="K23" s="4" t="str">
        <f>IF(_xlfn.XLOOKUP($C23,ALL!$C$2:$C$341,ALL!L$2:L$341)&lt;&gt;"",_xlfn.XLOOKUP($C23,ALL!$C$2:$C$341,ALL!L$2:L$341),"")</f>
        <v/>
      </c>
      <c r="L23" s="4" t="str">
        <f>IF(_xlfn.XLOOKUP($C23,ALL!$C$2:$C$341,ALL!M$2:M$341)&lt;&gt;"",_xlfn.XLOOKUP($C23,ALL!$C$2:$C$341,ALL!M$2:M$341),"")</f>
        <v/>
      </c>
      <c r="M23" s="4" t="str">
        <f>IF(_xlfn.XLOOKUP($C23,ALL!$C$2:$C$341,ALL!N$2:N$341)&lt;&gt;"",_xlfn.XLOOKUP($C23,ALL!$C$2:$C$341,ALL!N$2:N$341),"")</f>
        <v/>
      </c>
      <c r="N23" s="4" t="str">
        <f>IF(_xlfn.XLOOKUP($C23,ALL!$C$2:$C$341,ALL!O$2:O$341)&lt;&gt;"",_xlfn.XLOOKUP($C23,ALL!$C$2:$C$341,ALL!O$2:O$341),"")</f>
        <v/>
      </c>
    </row>
    <row r="24" spans="1:14" ht="19.2" customHeight="1" x14ac:dyDescent="0.3">
      <c r="A24" s="100" t="str">
        <f>IF(_xlfn.XLOOKUP($C24,ALL!$C$2:$C$341,ALL!A$2:A$341)&lt;&gt;"",_xlfn.XLOOKUP($C24,ALL!$C$2:$C$341,ALL!A$2:A$341),"")</f>
        <v/>
      </c>
      <c r="B24" s="94" t="str">
        <f>IF(_xlfn.XLOOKUP($C24,ALL!$C$2:$C$341,ALL!B$2:B$341)&lt;&gt;"",_xlfn.XLOOKUP($C24,ALL!$C$2:$C$341,ALL!B$2:B$341),"")</f>
        <v/>
      </c>
      <c r="D24" s="69" t="str">
        <f>IF(_xlfn.XLOOKUP($C24,ALL!$C$2:$C$341,ALL!D$2:D$341)&lt;&gt;"",_xlfn.XLOOKUP($C24,ALL!$C$2:$C$341,ALL!D$2:D$341),"")</f>
        <v/>
      </c>
      <c r="E24" s="69" t="str">
        <f>IF(_xlfn.XLOOKUP($C24,ALL!$C$2:$C$341,ALL!F$2:F$341)&lt;&gt;"",_xlfn.XLOOKUP($C24,ALL!$C$2:$C$341,ALL!F$2:F$341),"")</f>
        <v/>
      </c>
      <c r="F24" s="69" t="str">
        <f>IF(_xlfn.XLOOKUP($C24,ALL!$C$2:$C$341,ALL!G$2:G$341)&lt;&gt;"",_xlfn.XLOOKUP($C24,ALL!$C$2:$C$341,ALL!G$2:G$341),"")</f>
        <v/>
      </c>
      <c r="G24" s="70" t="str">
        <f>IF(_xlfn.XLOOKUP($C24,ALL!$C$2:$C$341,ALL!H$2:H$341)&lt;&gt;"",_xlfn.XLOOKUP($C24,ALL!$C$2:$C$341,ALL!H$2:H$341),"")</f>
        <v/>
      </c>
      <c r="H24" s="69" t="str">
        <f>IF(_xlfn.XLOOKUP($C24,ALL!$C$2:$C$341,ALL!I$2:I$341)&lt;&gt;"",_xlfn.XLOOKUP($C24,ALL!$C$2:$C$341,ALL!I$2:I$341),"")</f>
        <v/>
      </c>
      <c r="I24" s="69" t="str">
        <f>IF(_xlfn.XLOOKUP($C24,ALL!$C$2:$C$341,ALL!J$2:J$341)&lt;&gt;"",_xlfn.XLOOKUP($C24,ALL!$C$2:$C$341,ALL!J$2:J$341),"")</f>
        <v/>
      </c>
      <c r="J24" s="70" t="str">
        <f>IF(_xlfn.XLOOKUP($C24,ALL!$C$2:$C$341,ALL!K$2:K$341)&lt;&gt;"",_xlfn.XLOOKUP($C24,ALL!$C$2:$C$341,ALL!K$2:K$341),"")</f>
        <v/>
      </c>
      <c r="K24" s="4" t="str">
        <f>IF(_xlfn.XLOOKUP($C24,ALL!$C$2:$C$341,ALL!L$2:L$341)&lt;&gt;"",_xlfn.XLOOKUP($C24,ALL!$C$2:$C$341,ALL!L$2:L$341),"")</f>
        <v/>
      </c>
      <c r="L24" s="4" t="str">
        <f>IF(_xlfn.XLOOKUP($C24,ALL!$C$2:$C$341,ALL!M$2:M$341)&lt;&gt;"",_xlfn.XLOOKUP($C24,ALL!$C$2:$C$341,ALL!M$2:M$341),"")</f>
        <v/>
      </c>
      <c r="M24" s="4" t="str">
        <f>IF(_xlfn.XLOOKUP($C24,ALL!$C$2:$C$341,ALL!N$2:N$341)&lt;&gt;"",_xlfn.XLOOKUP($C24,ALL!$C$2:$C$341,ALL!N$2:N$341),"")</f>
        <v/>
      </c>
      <c r="N24" s="4" t="str">
        <f>IF(_xlfn.XLOOKUP($C24,ALL!$C$2:$C$341,ALL!O$2:O$341)&lt;&gt;"",_xlfn.XLOOKUP($C24,ALL!$C$2:$C$341,ALL!O$2:O$341),"")</f>
        <v/>
      </c>
    </row>
    <row r="25" spans="1:14" ht="19.2" customHeight="1" x14ac:dyDescent="0.3">
      <c r="A25" s="100" t="str">
        <f>IF(_xlfn.XLOOKUP($C25,ALL!$C$2:$C$341,ALL!A$2:A$341)&lt;&gt;"",_xlfn.XLOOKUP($C25,ALL!$C$2:$C$341,ALL!A$2:A$341),"")</f>
        <v/>
      </c>
      <c r="B25" s="94" t="str">
        <f>IF(_xlfn.XLOOKUP($C25,ALL!$C$2:$C$341,ALL!B$2:B$341)&lt;&gt;"",_xlfn.XLOOKUP($C25,ALL!$C$2:$C$341,ALL!B$2:B$341),"")</f>
        <v/>
      </c>
      <c r="D25" s="69" t="str">
        <f>IF(_xlfn.XLOOKUP($C25,ALL!$C$2:$C$341,ALL!D$2:D$341)&lt;&gt;"",_xlfn.XLOOKUP($C25,ALL!$C$2:$C$341,ALL!D$2:D$341),"")</f>
        <v/>
      </c>
      <c r="E25" s="69" t="str">
        <f>IF(_xlfn.XLOOKUP($C25,ALL!$C$2:$C$341,ALL!F$2:F$341)&lt;&gt;"",_xlfn.XLOOKUP($C25,ALL!$C$2:$C$341,ALL!F$2:F$341),"")</f>
        <v/>
      </c>
      <c r="F25" s="69" t="str">
        <f>IF(_xlfn.XLOOKUP($C25,ALL!$C$2:$C$341,ALL!G$2:G$341)&lt;&gt;"",_xlfn.XLOOKUP($C25,ALL!$C$2:$C$341,ALL!G$2:G$341),"")</f>
        <v/>
      </c>
      <c r="G25" s="70" t="str">
        <f>IF(_xlfn.XLOOKUP($C25,ALL!$C$2:$C$341,ALL!H$2:H$341)&lt;&gt;"",_xlfn.XLOOKUP($C25,ALL!$C$2:$C$341,ALL!H$2:H$341),"")</f>
        <v/>
      </c>
      <c r="H25" s="69" t="str">
        <f>IF(_xlfn.XLOOKUP($C25,ALL!$C$2:$C$341,ALL!I$2:I$341)&lt;&gt;"",_xlfn.XLOOKUP($C25,ALL!$C$2:$C$341,ALL!I$2:I$341),"")</f>
        <v/>
      </c>
      <c r="I25" s="69" t="str">
        <f>IF(_xlfn.XLOOKUP($C25,ALL!$C$2:$C$341,ALL!J$2:J$341)&lt;&gt;"",_xlfn.XLOOKUP($C25,ALL!$C$2:$C$341,ALL!J$2:J$341),"")</f>
        <v/>
      </c>
      <c r="J25" s="70" t="str">
        <f>IF(_xlfn.XLOOKUP($C25,ALL!$C$2:$C$341,ALL!K$2:K$341)&lt;&gt;"",_xlfn.XLOOKUP($C25,ALL!$C$2:$C$341,ALL!K$2:K$341),"")</f>
        <v/>
      </c>
      <c r="K25" s="4" t="str">
        <f>IF(_xlfn.XLOOKUP($C25,ALL!$C$2:$C$341,ALL!L$2:L$341)&lt;&gt;"",_xlfn.XLOOKUP($C25,ALL!$C$2:$C$341,ALL!L$2:L$341),"")</f>
        <v/>
      </c>
      <c r="L25" s="4" t="str">
        <f>IF(_xlfn.XLOOKUP($C25,ALL!$C$2:$C$341,ALL!M$2:M$341)&lt;&gt;"",_xlfn.XLOOKUP($C25,ALL!$C$2:$C$341,ALL!M$2:M$341),"")</f>
        <v/>
      </c>
      <c r="M25" s="4" t="str">
        <f>IF(_xlfn.XLOOKUP($C25,ALL!$C$2:$C$341,ALL!N$2:N$341)&lt;&gt;"",_xlfn.XLOOKUP($C25,ALL!$C$2:$C$341,ALL!N$2:N$341),"")</f>
        <v/>
      </c>
      <c r="N25" s="4" t="str">
        <f>IF(_xlfn.XLOOKUP($C25,ALL!$C$2:$C$341,ALL!O$2:O$341)&lt;&gt;"",_xlfn.XLOOKUP($C25,ALL!$C$2:$C$341,ALL!O$2:O$341),"")</f>
        <v/>
      </c>
    </row>
    <row r="26" spans="1:14" ht="19.2" customHeight="1" x14ac:dyDescent="0.3">
      <c r="A26" s="100" t="str">
        <f>IF(_xlfn.XLOOKUP($C26,ALL!$C$2:$C$341,ALL!A$2:A$341)&lt;&gt;"",_xlfn.XLOOKUP($C26,ALL!$C$2:$C$341,ALL!A$2:A$341),"")</f>
        <v/>
      </c>
      <c r="B26" s="94" t="str">
        <f>IF(_xlfn.XLOOKUP($C26,ALL!$C$2:$C$341,ALL!B$2:B$341)&lt;&gt;"",_xlfn.XLOOKUP($C26,ALL!$C$2:$C$341,ALL!B$2:B$341),"")</f>
        <v/>
      </c>
      <c r="D26" s="69" t="str">
        <f>IF(_xlfn.XLOOKUP($C26,ALL!$C$2:$C$341,ALL!D$2:D$341)&lt;&gt;"",_xlfn.XLOOKUP($C26,ALL!$C$2:$C$341,ALL!D$2:D$341),"")</f>
        <v/>
      </c>
      <c r="E26" s="69" t="str">
        <f>IF(_xlfn.XLOOKUP($C26,ALL!$C$2:$C$341,ALL!F$2:F$341)&lt;&gt;"",_xlfn.XLOOKUP($C26,ALL!$C$2:$C$341,ALL!F$2:F$341),"")</f>
        <v/>
      </c>
      <c r="F26" s="69" t="str">
        <f>IF(_xlfn.XLOOKUP($C26,ALL!$C$2:$C$341,ALL!G$2:G$341)&lt;&gt;"",_xlfn.XLOOKUP($C26,ALL!$C$2:$C$341,ALL!G$2:G$341),"")</f>
        <v/>
      </c>
      <c r="G26" s="70" t="str">
        <f>IF(_xlfn.XLOOKUP($C26,ALL!$C$2:$C$341,ALL!H$2:H$341)&lt;&gt;"",_xlfn.XLOOKUP($C26,ALL!$C$2:$C$341,ALL!H$2:H$341),"")</f>
        <v/>
      </c>
      <c r="H26" s="69" t="str">
        <f>IF(_xlfn.XLOOKUP($C26,ALL!$C$2:$C$341,ALL!I$2:I$341)&lt;&gt;"",_xlfn.XLOOKUP($C26,ALL!$C$2:$C$341,ALL!I$2:I$341),"")</f>
        <v/>
      </c>
      <c r="I26" s="69" t="str">
        <f>IF(_xlfn.XLOOKUP($C26,ALL!$C$2:$C$341,ALL!J$2:J$341)&lt;&gt;"",_xlfn.XLOOKUP($C26,ALL!$C$2:$C$341,ALL!J$2:J$341),"")</f>
        <v/>
      </c>
      <c r="J26" s="70" t="str">
        <f>IF(_xlfn.XLOOKUP($C26,ALL!$C$2:$C$341,ALL!K$2:K$341)&lt;&gt;"",_xlfn.XLOOKUP($C26,ALL!$C$2:$C$341,ALL!K$2:K$341),"")</f>
        <v/>
      </c>
      <c r="K26" s="4" t="str">
        <f>IF(_xlfn.XLOOKUP($C26,ALL!$C$2:$C$341,ALL!L$2:L$341)&lt;&gt;"",_xlfn.XLOOKUP($C26,ALL!$C$2:$C$341,ALL!L$2:L$341),"")</f>
        <v/>
      </c>
      <c r="L26" s="4" t="str">
        <f>IF(_xlfn.XLOOKUP($C26,ALL!$C$2:$C$341,ALL!M$2:M$341)&lt;&gt;"",_xlfn.XLOOKUP($C26,ALL!$C$2:$C$341,ALL!M$2:M$341),"")</f>
        <v/>
      </c>
      <c r="M26" s="4" t="str">
        <f>IF(_xlfn.XLOOKUP($C26,ALL!$C$2:$C$341,ALL!N$2:N$341)&lt;&gt;"",_xlfn.XLOOKUP($C26,ALL!$C$2:$C$341,ALL!N$2:N$341),"")</f>
        <v/>
      </c>
      <c r="N26" s="4" t="str">
        <f>IF(_xlfn.XLOOKUP($C26,ALL!$C$2:$C$341,ALL!O$2:O$341)&lt;&gt;"",_xlfn.XLOOKUP($C26,ALL!$C$2:$C$341,ALL!O$2:O$341),"")</f>
        <v/>
      </c>
    </row>
    <row r="27" spans="1:14" ht="19.2" customHeight="1" x14ac:dyDescent="0.3">
      <c r="A27" s="100" t="str">
        <f>IF(_xlfn.XLOOKUP($C27,ALL!$C$2:$C$341,ALL!A$2:A$341)&lt;&gt;"",_xlfn.XLOOKUP($C27,ALL!$C$2:$C$341,ALL!A$2:A$341),"")</f>
        <v/>
      </c>
      <c r="B27" s="94" t="str">
        <f>IF(_xlfn.XLOOKUP($C27,ALL!$C$2:$C$341,ALL!B$2:B$341)&lt;&gt;"",_xlfn.XLOOKUP($C27,ALL!$C$2:$C$341,ALL!B$2:B$341),"")</f>
        <v/>
      </c>
      <c r="D27" s="69" t="str">
        <f>IF(_xlfn.XLOOKUP($C27,ALL!$C$2:$C$341,ALL!D$2:D$341)&lt;&gt;"",_xlfn.XLOOKUP($C27,ALL!$C$2:$C$341,ALL!D$2:D$341),"")</f>
        <v/>
      </c>
      <c r="E27" s="69" t="str">
        <f>IF(_xlfn.XLOOKUP($C27,ALL!$C$2:$C$341,ALL!F$2:F$341)&lt;&gt;"",_xlfn.XLOOKUP($C27,ALL!$C$2:$C$341,ALL!F$2:F$341),"")</f>
        <v/>
      </c>
      <c r="F27" s="69" t="str">
        <f>IF(_xlfn.XLOOKUP($C27,ALL!$C$2:$C$341,ALL!G$2:G$341)&lt;&gt;"",_xlfn.XLOOKUP($C27,ALL!$C$2:$C$341,ALL!G$2:G$341),"")</f>
        <v/>
      </c>
      <c r="G27" s="70" t="str">
        <f>IF(_xlfn.XLOOKUP($C27,ALL!$C$2:$C$341,ALL!H$2:H$341)&lt;&gt;"",_xlfn.XLOOKUP($C27,ALL!$C$2:$C$341,ALL!H$2:H$341),"")</f>
        <v/>
      </c>
      <c r="H27" s="69" t="str">
        <f>IF(_xlfn.XLOOKUP($C27,ALL!$C$2:$C$341,ALL!I$2:I$341)&lt;&gt;"",_xlfn.XLOOKUP($C27,ALL!$C$2:$C$341,ALL!I$2:I$341),"")</f>
        <v/>
      </c>
      <c r="I27" s="69" t="str">
        <f>IF(_xlfn.XLOOKUP($C27,ALL!$C$2:$C$341,ALL!J$2:J$341)&lt;&gt;"",_xlfn.XLOOKUP($C27,ALL!$C$2:$C$341,ALL!J$2:J$341),"")</f>
        <v/>
      </c>
      <c r="J27" s="70" t="str">
        <f>IF(_xlfn.XLOOKUP($C27,ALL!$C$2:$C$341,ALL!K$2:K$341)&lt;&gt;"",_xlfn.XLOOKUP($C27,ALL!$C$2:$C$341,ALL!K$2:K$341),"")</f>
        <v/>
      </c>
      <c r="K27" s="4" t="str">
        <f>IF(_xlfn.XLOOKUP($C27,ALL!$C$2:$C$341,ALL!L$2:L$341)&lt;&gt;"",_xlfn.XLOOKUP($C27,ALL!$C$2:$C$341,ALL!L$2:L$341),"")</f>
        <v/>
      </c>
      <c r="L27" s="4" t="str">
        <f>IF(_xlfn.XLOOKUP($C27,ALL!$C$2:$C$341,ALL!M$2:M$341)&lt;&gt;"",_xlfn.XLOOKUP($C27,ALL!$C$2:$C$341,ALL!M$2:M$341),"")</f>
        <v/>
      </c>
      <c r="M27" s="4" t="str">
        <f>IF(_xlfn.XLOOKUP($C27,ALL!$C$2:$C$341,ALL!N$2:N$341)&lt;&gt;"",_xlfn.XLOOKUP($C27,ALL!$C$2:$C$341,ALL!N$2:N$341),"")</f>
        <v/>
      </c>
      <c r="N27" s="4" t="str">
        <f>IF(_xlfn.XLOOKUP($C27,ALL!$C$2:$C$341,ALL!O$2:O$341)&lt;&gt;"",_xlfn.XLOOKUP($C27,ALL!$C$2:$C$341,ALL!O$2:O$341),"")</f>
        <v/>
      </c>
    </row>
    <row r="28" spans="1:14" ht="19.2" customHeight="1" x14ac:dyDescent="0.3">
      <c r="A28" s="100" t="str">
        <f>IF(_xlfn.XLOOKUP($C28,ALL!$C$2:$C$341,ALL!A$2:A$341)&lt;&gt;"",_xlfn.XLOOKUP($C28,ALL!$C$2:$C$341,ALL!A$2:A$341),"")</f>
        <v/>
      </c>
      <c r="B28" s="94" t="str">
        <f>IF(_xlfn.XLOOKUP($C28,ALL!$C$2:$C$341,ALL!B$2:B$341)&lt;&gt;"",_xlfn.XLOOKUP($C28,ALL!$C$2:$C$341,ALL!B$2:B$341),"")</f>
        <v/>
      </c>
      <c r="D28" s="69" t="str">
        <f>IF(_xlfn.XLOOKUP($C28,ALL!$C$2:$C$341,ALL!D$2:D$341)&lt;&gt;"",_xlfn.XLOOKUP($C28,ALL!$C$2:$C$341,ALL!D$2:D$341),"")</f>
        <v/>
      </c>
      <c r="E28" s="69" t="str">
        <f>IF(_xlfn.XLOOKUP($C28,ALL!$C$2:$C$341,ALL!F$2:F$341)&lt;&gt;"",_xlfn.XLOOKUP($C28,ALL!$C$2:$C$341,ALL!F$2:F$341),"")</f>
        <v/>
      </c>
      <c r="F28" s="69" t="str">
        <f>IF(_xlfn.XLOOKUP($C28,ALL!$C$2:$C$341,ALL!G$2:G$341)&lt;&gt;"",_xlfn.XLOOKUP($C28,ALL!$C$2:$C$341,ALL!G$2:G$341),"")</f>
        <v/>
      </c>
      <c r="G28" s="70" t="str">
        <f>IF(_xlfn.XLOOKUP($C28,ALL!$C$2:$C$341,ALL!H$2:H$341)&lt;&gt;"",_xlfn.XLOOKUP($C28,ALL!$C$2:$C$341,ALL!H$2:H$341),"")</f>
        <v/>
      </c>
      <c r="H28" s="69" t="str">
        <f>IF(_xlfn.XLOOKUP($C28,ALL!$C$2:$C$341,ALL!I$2:I$341)&lt;&gt;"",_xlfn.XLOOKUP($C28,ALL!$C$2:$C$341,ALL!I$2:I$341),"")</f>
        <v/>
      </c>
      <c r="I28" s="69" t="str">
        <f>IF(_xlfn.XLOOKUP($C28,ALL!$C$2:$C$341,ALL!J$2:J$341)&lt;&gt;"",_xlfn.XLOOKUP($C28,ALL!$C$2:$C$341,ALL!J$2:J$341),"")</f>
        <v/>
      </c>
      <c r="J28" s="70" t="str">
        <f>IF(_xlfn.XLOOKUP($C28,ALL!$C$2:$C$341,ALL!K$2:K$341)&lt;&gt;"",_xlfn.XLOOKUP($C28,ALL!$C$2:$C$341,ALL!K$2:K$341),"")</f>
        <v/>
      </c>
      <c r="K28" s="4" t="str">
        <f>IF(_xlfn.XLOOKUP($C28,ALL!$C$2:$C$341,ALL!L$2:L$341)&lt;&gt;"",_xlfn.XLOOKUP($C28,ALL!$C$2:$C$341,ALL!L$2:L$341),"")</f>
        <v/>
      </c>
      <c r="L28" s="4" t="str">
        <f>IF(_xlfn.XLOOKUP($C28,ALL!$C$2:$C$341,ALL!M$2:M$341)&lt;&gt;"",_xlfn.XLOOKUP($C28,ALL!$C$2:$C$341,ALL!M$2:M$341),"")</f>
        <v/>
      </c>
      <c r="M28" s="4" t="str">
        <f>IF(_xlfn.XLOOKUP($C28,ALL!$C$2:$C$341,ALL!N$2:N$341)&lt;&gt;"",_xlfn.XLOOKUP($C28,ALL!$C$2:$C$341,ALL!N$2:N$341),"")</f>
        <v/>
      </c>
      <c r="N28" s="4" t="str">
        <f>IF(_xlfn.XLOOKUP($C28,ALL!$C$2:$C$341,ALL!O$2:O$341)&lt;&gt;"",_xlfn.XLOOKUP($C28,ALL!$C$2:$C$341,ALL!O$2:O$341),"")</f>
        <v/>
      </c>
    </row>
    <row r="29" spans="1:14" ht="19.2" customHeight="1" x14ac:dyDescent="0.3">
      <c r="A29" s="100" t="str">
        <f>IF(_xlfn.XLOOKUP($C29,ALL!$C$2:$C$341,ALL!A$2:A$341)&lt;&gt;"",_xlfn.XLOOKUP($C29,ALL!$C$2:$C$341,ALL!A$2:A$341),"")</f>
        <v/>
      </c>
      <c r="B29" s="94" t="str">
        <f>IF(_xlfn.XLOOKUP($C29,ALL!$C$2:$C$341,ALL!B$2:B$341)&lt;&gt;"",_xlfn.XLOOKUP($C29,ALL!$C$2:$C$341,ALL!B$2:B$341),"")</f>
        <v/>
      </c>
      <c r="D29" s="69" t="str">
        <f>IF(_xlfn.XLOOKUP($C29,ALL!$C$2:$C$341,ALL!D$2:D$341)&lt;&gt;"",_xlfn.XLOOKUP($C29,ALL!$C$2:$C$341,ALL!D$2:D$341),"")</f>
        <v/>
      </c>
      <c r="E29" s="69" t="str">
        <f>IF(_xlfn.XLOOKUP($C29,ALL!$C$2:$C$341,ALL!F$2:F$341)&lt;&gt;"",_xlfn.XLOOKUP($C29,ALL!$C$2:$C$341,ALL!F$2:F$341),"")</f>
        <v/>
      </c>
      <c r="F29" s="69" t="str">
        <f>IF(_xlfn.XLOOKUP($C29,ALL!$C$2:$C$341,ALL!G$2:G$341)&lt;&gt;"",_xlfn.XLOOKUP($C29,ALL!$C$2:$C$341,ALL!G$2:G$341),"")</f>
        <v/>
      </c>
      <c r="G29" s="70" t="str">
        <f>IF(_xlfn.XLOOKUP($C29,ALL!$C$2:$C$341,ALL!H$2:H$341)&lt;&gt;"",_xlfn.XLOOKUP($C29,ALL!$C$2:$C$341,ALL!H$2:H$341),"")</f>
        <v/>
      </c>
      <c r="H29" s="69" t="str">
        <f>IF(_xlfn.XLOOKUP($C29,ALL!$C$2:$C$341,ALL!I$2:I$341)&lt;&gt;"",_xlfn.XLOOKUP($C29,ALL!$C$2:$C$341,ALL!I$2:I$341),"")</f>
        <v/>
      </c>
      <c r="I29" s="69" t="str">
        <f>IF(_xlfn.XLOOKUP($C29,ALL!$C$2:$C$341,ALL!J$2:J$341)&lt;&gt;"",_xlfn.XLOOKUP($C29,ALL!$C$2:$C$341,ALL!J$2:J$341),"")</f>
        <v/>
      </c>
      <c r="J29" s="70" t="str">
        <f>IF(_xlfn.XLOOKUP($C29,ALL!$C$2:$C$341,ALL!K$2:K$341)&lt;&gt;"",_xlfn.XLOOKUP($C29,ALL!$C$2:$C$341,ALL!K$2:K$341),"")</f>
        <v/>
      </c>
      <c r="K29" s="4" t="str">
        <f>IF(_xlfn.XLOOKUP($C29,ALL!$C$2:$C$341,ALL!L$2:L$341)&lt;&gt;"",_xlfn.XLOOKUP($C29,ALL!$C$2:$C$341,ALL!L$2:L$341),"")</f>
        <v/>
      </c>
      <c r="L29" s="4" t="str">
        <f>IF(_xlfn.XLOOKUP($C29,ALL!$C$2:$C$341,ALL!M$2:M$341)&lt;&gt;"",_xlfn.XLOOKUP($C29,ALL!$C$2:$C$341,ALL!M$2:M$341),"")</f>
        <v/>
      </c>
      <c r="M29" s="4" t="str">
        <f>IF(_xlfn.XLOOKUP($C29,ALL!$C$2:$C$341,ALL!N$2:N$341)&lt;&gt;"",_xlfn.XLOOKUP($C29,ALL!$C$2:$C$341,ALL!N$2:N$341),"")</f>
        <v/>
      </c>
      <c r="N29" s="4" t="str">
        <f>IF(_xlfn.XLOOKUP($C29,ALL!$C$2:$C$341,ALL!O$2:O$341)&lt;&gt;"",_xlfn.XLOOKUP($C29,ALL!$C$2:$C$341,ALL!O$2:O$341),"")</f>
        <v/>
      </c>
    </row>
    <row r="30" spans="1:14" ht="19.2" customHeight="1" x14ac:dyDescent="0.3">
      <c r="A30" s="100" t="str">
        <f>IF(_xlfn.XLOOKUP($C30,ALL!$C$2:$C$341,ALL!A$2:A$341)&lt;&gt;"",_xlfn.XLOOKUP($C30,ALL!$C$2:$C$341,ALL!A$2:A$341),"")</f>
        <v/>
      </c>
      <c r="B30" s="94" t="str">
        <f>IF(_xlfn.XLOOKUP($C30,ALL!$C$2:$C$341,ALL!B$2:B$341)&lt;&gt;"",_xlfn.XLOOKUP($C30,ALL!$C$2:$C$341,ALL!B$2:B$341),"")</f>
        <v/>
      </c>
      <c r="D30" s="69" t="str">
        <f>IF(_xlfn.XLOOKUP($C30,ALL!$C$2:$C$341,ALL!D$2:D$341)&lt;&gt;"",_xlfn.XLOOKUP($C30,ALL!$C$2:$C$341,ALL!D$2:D$341),"")</f>
        <v/>
      </c>
      <c r="E30" s="69" t="str">
        <f>IF(_xlfn.XLOOKUP($C30,ALL!$C$2:$C$341,ALL!F$2:F$341)&lt;&gt;"",_xlfn.XLOOKUP($C30,ALL!$C$2:$C$341,ALL!F$2:F$341),"")</f>
        <v/>
      </c>
      <c r="F30" s="69" t="str">
        <f>IF(_xlfn.XLOOKUP($C30,ALL!$C$2:$C$341,ALL!G$2:G$341)&lt;&gt;"",_xlfn.XLOOKUP($C30,ALL!$C$2:$C$341,ALL!G$2:G$341),"")</f>
        <v/>
      </c>
      <c r="G30" s="70" t="str">
        <f>IF(_xlfn.XLOOKUP($C30,ALL!$C$2:$C$341,ALL!H$2:H$341)&lt;&gt;"",_xlfn.XLOOKUP($C30,ALL!$C$2:$C$341,ALL!H$2:H$341),"")</f>
        <v/>
      </c>
      <c r="H30" s="69" t="str">
        <f>IF(_xlfn.XLOOKUP($C30,ALL!$C$2:$C$341,ALL!I$2:I$341)&lt;&gt;"",_xlfn.XLOOKUP($C30,ALL!$C$2:$C$341,ALL!I$2:I$341),"")</f>
        <v/>
      </c>
      <c r="I30" s="69" t="str">
        <f>IF(_xlfn.XLOOKUP($C30,ALL!$C$2:$C$341,ALL!J$2:J$341)&lt;&gt;"",_xlfn.XLOOKUP($C30,ALL!$C$2:$C$341,ALL!J$2:J$341),"")</f>
        <v/>
      </c>
      <c r="J30" s="70" t="str">
        <f>IF(_xlfn.XLOOKUP($C30,ALL!$C$2:$C$341,ALL!K$2:K$341)&lt;&gt;"",_xlfn.XLOOKUP($C30,ALL!$C$2:$C$341,ALL!K$2:K$341),"")</f>
        <v/>
      </c>
      <c r="K30" s="4" t="str">
        <f>IF(_xlfn.XLOOKUP($C30,ALL!$C$2:$C$341,ALL!L$2:L$341)&lt;&gt;"",_xlfn.XLOOKUP($C30,ALL!$C$2:$C$341,ALL!L$2:L$341),"")</f>
        <v/>
      </c>
      <c r="L30" s="4" t="str">
        <f>IF(_xlfn.XLOOKUP($C30,ALL!$C$2:$C$341,ALL!M$2:M$341)&lt;&gt;"",_xlfn.XLOOKUP($C30,ALL!$C$2:$C$341,ALL!M$2:M$341),"")</f>
        <v/>
      </c>
      <c r="M30" s="4" t="str">
        <f>IF(_xlfn.XLOOKUP($C30,ALL!$C$2:$C$341,ALL!N$2:N$341)&lt;&gt;"",_xlfn.XLOOKUP($C30,ALL!$C$2:$C$341,ALL!N$2:N$341),"")</f>
        <v/>
      </c>
      <c r="N30" s="4" t="str">
        <f>IF(_xlfn.XLOOKUP($C30,ALL!$C$2:$C$341,ALL!O$2:O$341)&lt;&gt;"",_xlfn.XLOOKUP($C30,ALL!$C$2:$C$341,ALL!O$2:O$341),"")</f>
        <v/>
      </c>
    </row>
    <row r="31" spans="1:14" ht="19.2" customHeight="1" x14ac:dyDescent="0.3">
      <c r="A31" s="100" t="str">
        <f>IF(_xlfn.XLOOKUP($C31,ALL!$C$2:$C$341,ALL!A$2:A$341)&lt;&gt;"",_xlfn.XLOOKUP($C31,ALL!$C$2:$C$341,ALL!A$2:A$341),"")</f>
        <v/>
      </c>
      <c r="B31" s="94" t="str">
        <f>IF(_xlfn.XLOOKUP($C31,ALL!$C$2:$C$341,ALL!B$2:B$341)&lt;&gt;"",_xlfn.XLOOKUP($C31,ALL!$C$2:$C$341,ALL!B$2:B$341),"")</f>
        <v/>
      </c>
      <c r="D31" s="69" t="str">
        <f>IF(_xlfn.XLOOKUP($C31,ALL!$C$2:$C$341,ALL!D$2:D$341)&lt;&gt;"",_xlfn.XLOOKUP($C31,ALL!$C$2:$C$341,ALL!D$2:D$341),"")</f>
        <v/>
      </c>
      <c r="E31" s="69" t="str">
        <f>IF(_xlfn.XLOOKUP($C31,ALL!$C$2:$C$341,ALL!F$2:F$341)&lt;&gt;"",_xlfn.XLOOKUP($C31,ALL!$C$2:$C$341,ALL!F$2:F$341),"")</f>
        <v/>
      </c>
      <c r="F31" s="69" t="str">
        <f>IF(_xlfn.XLOOKUP($C31,ALL!$C$2:$C$341,ALL!G$2:G$341)&lt;&gt;"",_xlfn.XLOOKUP($C31,ALL!$C$2:$C$341,ALL!G$2:G$341),"")</f>
        <v/>
      </c>
      <c r="G31" s="70" t="str">
        <f>IF(_xlfn.XLOOKUP($C31,ALL!$C$2:$C$341,ALL!H$2:H$341)&lt;&gt;"",_xlfn.XLOOKUP($C31,ALL!$C$2:$C$341,ALL!H$2:H$341),"")</f>
        <v/>
      </c>
      <c r="H31" s="69" t="str">
        <f>IF(_xlfn.XLOOKUP($C31,ALL!$C$2:$C$341,ALL!I$2:I$341)&lt;&gt;"",_xlfn.XLOOKUP($C31,ALL!$C$2:$C$341,ALL!I$2:I$341),"")</f>
        <v/>
      </c>
      <c r="I31" s="69" t="str">
        <f>IF(_xlfn.XLOOKUP($C31,ALL!$C$2:$C$341,ALL!J$2:J$341)&lt;&gt;"",_xlfn.XLOOKUP($C31,ALL!$C$2:$C$341,ALL!J$2:J$341),"")</f>
        <v/>
      </c>
      <c r="J31" s="70" t="str">
        <f>IF(_xlfn.XLOOKUP($C31,ALL!$C$2:$C$341,ALL!K$2:K$341)&lt;&gt;"",_xlfn.XLOOKUP($C31,ALL!$C$2:$C$341,ALL!K$2:K$341),"")</f>
        <v/>
      </c>
      <c r="K31" s="4" t="str">
        <f>IF(_xlfn.XLOOKUP($C31,ALL!$C$2:$C$341,ALL!L$2:L$341)&lt;&gt;"",_xlfn.XLOOKUP($C31,ALL!$C$2:$C$341,ALL!L$2:L$341),"")</f>
        <v/>
      </c>
      <c r="L31" s="4" t="str">
        <f>IF(_xlfn.XLOOKUP($C31,ALL!$C$2:$C$341,ALL!M$2:M$341)&lt;&gt;"",_xlfn.XLOOKUP($C31,ALL!$C$2:$C$341,ALL!M$2:M$341),"")</f>
        <v/>
      </c>
      <c r="M31" s="4" t="str">
        <f>IF(_xlfn.XLOOKUP($C31,ALL!$C$2:$C$341,ALL!N$2:N$341)&lt;&gt;"",_xlfn.XLOOKUP($C31,ALL!$C$2:$C$341,ALL!N$2:N$341),"")</f>
        <v/>
      </c>
      <c r="N31" s="4" t="str">
        <f>IF(_xlfn.XLOOKUP($C31,ALL!$C$2:$C$341,ALL!O$2:O$341)&lt;&gt;"",_xlfn.XLOOKUP($C31,ALL!$C$2:$C$341,ALL!O$2:O$341),"")</f>
        <v/>
      </c>
    </row>
    <row r="32" spans="1:14" ht="19.2" customHeight="1" x14ac:dyDescent="0.3">
      <c r="A32" s="100" t="str">
        <f>IF(_xlfn.XLOOKUP($C32,ALL!$C$2:$C$341,ALL!A$2:A$341)&lt;&gt;"",_xlfn.XLOOKUP($C32,ALL!$C$2:$C$341,ALL!A$2:A$341),"")</f>
        <v/>
      </c>
      <c r="B32" s="94" t="str">
        <f>IF(_xlfn.XLOOKUP($C32,ALL!$C$2:$C$341,ALL!B$2:B$341)&lt;&gt;"",_xlfn.XLOOKUP($C32,ALL!$C$2:$C$341,ALL!B$2:B$341),"")</f>
        <v/>
      </c>
      <c r="D32" s="69" t="str">
        <f>IF(_xlfn.XLOOKUP($C32,ALL!$C$2:$C$341,ALL!D$2:D$341)&lt;&gt;"",_xlfn.XLOOKUP($C32,ALL!$C$2:$C$341,ALL!D$2:D$341),"")</f>
        <v/>
      </c>
      <c r="E32" s="69" t="str">
        <f>IF(_xlfn.XLOOKUP($C32,ALL!$C$2:$C$341,ALL!F$2:F$341)&lt;&gt;"",_xlfn.XLOOKUP($C32,ALL!$C$2:$C$341,ALL!F$2:F$341),"")</f>
        <v/>
      </c>
      <c r="F32" s="69" t="str">
        <f>IF(_xlfn.XLOOKUP($C32,ALL!$C$2:$C$341,ALL!G$2:G$341)&lt;&gt;"",_xlfn.XLOOKUP($C32,ALL!$C$2:$C$341,ALL!G$2:G$341),"")</f>
        <v/>
      </c>
      <c r="G32" s="70" t="str">
        <f>IF(_xlfn.XLOOKUP($C32,ALL!$C$2:$C$341,ALL!H$2:H$341)&lt;&gt;"",_xlfn.XLOOKUP($C32,ALL!$C$2:$C$341,ALL!H$2:H$341),"")</f>
        <v/>
      </c>
      <c r="H32" s="69" t="str">
        <f>IF(_xlfn.XLOOKUP($C32,ALL!$C$2:$C$341,ALL!I$2:I$341)&lt;&gt;"",_xlfn.XLOOKUP($C32,ALL!$C$2:$C$341,ALL!I$2:I$341),"")</f>
        <v/>
      </c>
      <c r="I32" s="69" t="str">
        <f>IF(_xlfn.XLOOKUP($C32,ALL!$C$2:$C$341,ALL!J$2:J$341)&lt;&gt;"",_xlfn.XLOOKUP($C32,ALL!$C$2:$C$341,ALL!J$2:J$341),"")</f>
        <v/>
      </c>
      <c r="J32" s="70" t="str">
        <f>IF(_xlfn.XLOOKUP($C32,ALL!$C$2:$C$341,ALL!K$2:K$341)&lt;&gt;"",_xlfn.XLOOKUP($C32,ALL!$C$2:$C$341,ALL!K$2:K$341),"")</f>
        <v/>
      </c>
      <c r="K32" s="4" t="str">
        <f>IF(_xlfn.XLOOKUP($C32,ALL!$C$2:$C$341,ALL!L$2:L$341)&lt;&gt;"",_xlfn.XLOOKUP($C32,ALL!$C$2:$C$341,ALL!L$2:L$341),"")</f>
        <v/>
      </c>
      <c r="L32" s="4" t="str">
        <f>IF(_xlfn.XLOOKUP($C32,ALL!$C$2:$C$341,ALL!M$2:M$341)&lt;&gt;"",_xlfn.XLOOKUP($C32,ALL!$C$2:$C$341,ALL!M$2:M$341),"")</f>
        <v/>
      </c>
      <c r="M32" s="4" t="str">
        <f>IF(_xlfn.XLOOKUP($C32,ALL!$C$2:$C$341,ALL!N$2:N$341)&lt;&gt;"",_xlfn.XLOOKUP($C32,ALL!$C$2:$C$341,ALL!N$2:N$341),"")</f>
        <v/>
      </c>
      <c r="N32" s="4" t="str">
        <f>IF(_xlfn.XLOOKUP($C32,ALL!$C$2:$C$341,ALL!O$2:O$341)&lt;&gt;"",_xlfn.XLOOKUP($C32,ALL!$C$2:$C$341,ALL!O$2:O$341),"")</f>
        <v/>
      </c>
    </row>
    <row r="33" spans="1:14" ht="19.2" customHeight="1" x14ac:dyDescent="0.3">
      <c r="A33" s="100" t="str">
        <f>IF(_xlfn.XLOOKUP($C33,ALL!$C$2:$C$341,ALL!A$2:A$341)&lt;&gt;"",_xlfn.XLOOKUP($C33,ALL!$C$2:$C$341,ALL!A$2:A$341),"")</f>
        <v/>
      </c>
      <c r="B33" s="94" t="str">
        <f>IF(_xlfn.XLOOKUP($C33,ALL!$C$2:$C$341,ALL!B$2:B$341)&lt;&gt;"",_xlfn.XLOOKUP($C33,ALL!$C$2:$C$341,ALL!B$2:B$341),"")</f>
        <v/>
      </c>
      <c r="D33" s="69" t="str">
        <f>IF(_xlfn.XLOOKUP($C33,ALL!$C$2:$C$341,ALL!D$2:D$341)&lt;&gt;"",_xlfn.XLOOKUP($C33,ALL!$C$2:$C$341,ALL!D$2:D$341),"")</f>
        <v/>
      </c>
      <c r="E33" s="69" t="str">
        <f>IF(_xlfn.XLOOKUP($C33,ALL!$C$2:$C$341,ALL!F$2:F$341)&lt;&gt;"",_xlfn.XLOOKUP($C33,ALL!$C$2:$C$341,ALL!F$2:F$341),"")</f>
        <v/>
      </c>
      <c r="F33" s="69" t="str">
        <f>IF(_xlfn.XLOOKUP($C33,ALL!$C$2:$C$341,ALL!G$2:G$341)&lt;&gt;"",_xlfn.XLOOKUP($C33,ALL!$C$2:$C$341,ALL!G$2:G$341),"")</f>
        <v/>
      </c>
      <c r="G33" s="70" t="str">
        <f>IF(_xlfn.XLOOKUP($C33,ALL!$C$2:$C$341,ALL!H$2:H$341)&lt;&gt;"",_xlfn.XLOOKUP($C33,ALL!$C$2:$C$341,ALL!H$2:H$341),"")</f>
        <v/>
      </c>
      <c r="H33" s="69" t="str">
        <f>IF(_xlfn.XLOOKUP($C33,ALL!$C$2:$C$341,ALL!I$2:I$341)&lt;&gt;"",_xlfn.XLOOKUP($C33,ALL!$C$2:$C$341,ALL!I$2:I$341),"")</f>
        <v/>
      </c>
      <c r="I33" s="69" t="str">
        <f>IF(_xlfn.XLOOKUP($C33,ALL!$C$2:$C$341,ALL!J$2:J$341)&lt;&gt;"",_xlfn.XLOOKUP($C33,ALL!$C$2:$C$341,ALL!J$2:J$341),"")</f>
        <v/>
      </c>
      <c r="J33" s="70" t="str">
        <f>IF(_xlfn.XLOOKUP($C33,ALL!$C$2:$C$341,ALL!K$2:K$341)&lt;&gt;"",_xlfn.XLOOKUP($C33,ALL!$C$2:$C$341,ALL!K$2:K$341),"")</f>
        <v/>
      </c>
      <c r="K33" s="4" t="str">
        <f>IF(_xlfn.XLOOKUP($C33,ALL!$C$2:$C$341,ALL!L$2:L$341)&lt;&gt;"",_xlfn.XLOOKUP($C33,ALL!$C$2:$C$341,ALL!L$2:L$341),"")</f>
        <v/>
      </c>
      <c r="L33" s="4" t="str">
        <f>IF(_xlfn.XLOOKUP($C33,ALL!$C$2:$C$341,ALL!M$2:M$341)&lt;&gt;"",_xlfn.XLOOKUP($C33,ALL!$C$2:$C$341,ALL!M$2:M$341),"")</f>
        <v/>
      </c>
      <c r="M33" s="4" t="str">
        <f>IF(_xlfn.XLOOKUP($C33,ALL!$C$2:$C$341,ALL!N$2:N$341)&lt;&gt;"",_xlfn.XLOOKUP($C33,ALL!$C$2:$C$341,ALL!N$2:N$341),"")</f>
        <v/>
      </c>
      <c r="N33" s="4" t="str">
        <f>IF(_xlfn.XLOOKUP($C33,ALL!$C$2:$C$341,ALL!O$2:O$341)&lt;&gt;"",_xlfn.XLOOKUP($C33,ALL!$C$2:$C$341,ALL!O$2:O$341),"")</f>
        <v/>
      </c>
    </row>
    <row r="34" spans="1:14" ht="19.2" customHeight="1" x14ac:dyDescent="0.3">
      <c r="A34" s="100" t="str">
        <f>IF(_xlfn.XLOOKUP($C34,ALL!$C$2:$C$341,ALL!A$2:A$341)&lt;&gt;"",_xlfn.XLOOKUP($C34,ALL!$C$2:$C$341,ALL!A$2:A$341),"")</f>
        <v/>
      </c>
      <c r="B34" s="94" t="str">
        <f>IF(_xlfn.XLOOKUP($C34,ALL!$C$2:$C$341,ALL!B$2:B$341)&lt;&gt;"",_xlfn.XLOOKUP($C34,ALL!$C$2:$C$341,ALL!B$2:B$341),"")</f>
        <v/>
      </c>
      <c r="D34" s="69" t="str">
        <f>IF(_xlfn.XLOOKUP($C34,ALL!$C$2:$C$341,ALL!D$2:D$341)&lt;&gt;"",_xlfn.XLOOKUP($C34,ALL!$C$2:$C$341,ALL!D$2:D$341),"")</f>
        <v/>
      </c>
      <c r="E34" s="69" t="str">
        <f>IF(_xlfn.XLOOKUP($C34,ALL!$C$2:$C$341,ALL!F$2:F$341)&lt;&gt;"",_xlfn.XLOOKUP($C34,ALL!$C$2:$C$341,ALL!F$2:F$341),"")</f>
        <v/>
      </c>
      <c r="F34" s="69" t="str">
        <f>IF(_xlfn.XLOOKUP($C34,ALL!$C$2:$C$341,ALL!G$2:G$341)&lt;&gt;"",_xlfn.XLOOKUP($C34,ALL!$C$2:$C$341,ALL!G$2:G$341),"")</f>
        <v/>
      </c>
      <c r="G34" s="70" t="str">
        <f>IF(_xlfn.XLOOKUP($C34,ALL!$C$2:$C$341,ALL!H$2:H$341)&lt;&gt;"",_xlfn.XLOOKUP($C34,ALL!$C$2:$C$341,ALL!H$2:H$341),"")</f>
        <v/>
      </c>
      <c r="H34" s="69" t="str">
        <f>IF(_xlfn.XLOOKUP($C34,ALL!$C$2:$C$341,ALL!I$2:I$341)&lt;&gt;"",_xlfn.XLOOKUP($C34,ALL!$C$2:$C$341,ALL!I$2:I$341),"")</f>
        <v/>
      </c>
      <c r="I34" s="69" t="str">
        <f>IF(_xlfn.XLOOKUP($C34,ALL!$C$2:$C$341,ALL!J$2:J$341)&lt;&gt;"",_xlfn.XLOOKUP($C34,ALL!$C$2:$C$341,ALL!J$2:J$341),"")</f>
        <v/>
      </c>
      <c r="J34" s="70" t="str">
        <f>IF(_xlfn.XLOOKUP($C34,ALL!$C$2:$C$341,ALL!K$2:K$341)&lt;&gt;"",_xlfn.XLOOKUP($C34,ALL!$C$2:$C$341,ALL!K$2:K$341),"")</f>
        <v/>
      </c>
      <c r="K34" s="4" t="str">
        <f>IF(_xlfn.XLOOKUP($C34,ALL!$C$2:$C$341,ALL!L$2:L$341)&lt;&gt;"",_xlfn.XLOOKUP($C34,ALL!$C$2:$C$341,ALL!L$2:L$341),"")</f>
        <v/>
      </c>
      <c r="L34" s="4" t="str">
        <f>IF(_xlfn.XLOOKUP($C34,ALL!$C$2:$C$341,ALL!M$2:M$341)&lt;&gt;"",_xlfn.XLOOKUP($C34,ALL!$C$2:$C$341,ALL!M$2:M$341),"")</f>
        <v/>
      </c>
      <c r="M34" s="4" t="str">
        <f>IF(_xlfn.XLOOKUP($C34,ALL!$C$2:$C$341,ALL!N$2:N$341)&lt;&gt;"",_xlfn.XLOOKUP($C34,ALL!$C$2:$C$341,ALL!N$2:N$341),"")</f>
        <v/>
      </c>
      <c r="N34" s="4" t="str">
        <f>IF(_xlfn.XLOOKUP($C34,ALL!$C$2:$C$341,ALL!O$2:O$341)&lt;&gt;"",_xlfn.XLOOKUP($C34,ALL!$C$2:$C$341,ALL!O$2:O$341),"")</f>
        <v/>
      </c>
    </row>
    <row r="35" spans="1:14" ht="19.2" customHeight="1" x14ac:dyDescent="0.3">
      <c r="A35" s="100" t="str">
        <f>IF(_xlfn.XLOOKUP($C35,ALL!$C$2:$C$341,ALL!A$2:A$341)&lt;&gt;"",_xlfn.XLOOKUP($C35,ALL!$C$2:$C$341,ALL!A$2:A$341),"")</f>
        <v/>
      </c>
      <c r="B35" s="94" t="str">
        <f>IF(_xlfn.XLOOKUP($C35,ALL!$C$2:$C$341,ALL!B$2:B$341)&lt;&gt;"",_xlfn.XLOOKUP($C35,ALL!$C$2:$C$341,ALL!B$2:B$341),"")</f>
        <v/>
      </c>
      <c r="D35" s="69" t="str">
        <f>IF(_xlfn.XLOOKUP($C35,ALL!$C$2:$C$341,ALL!D$2:D$341)&lt;&gt;"",_xlfn.XLOOKUP($C35,ALL!$C$2:$C$341,ALL!D$2:D$341),"")</f>
        <v/>
      </c>
      <c r="E35" s="69" t="str">
        <f>IF(_xlfn.XLOOKUP($C35,ALL!$C$2:$C$341,ALL!F$2:F$341)&lt;&gt;"",_xlfn.XLOOKUP($C35,ALL!$C$2:$C$341,ALL!F$2:F$341),"")</f>
        <v/>
      </c>
      <c r="F35" s="69" t="str">
        <f>IF(_xlfn.XLOOKUP($C35,ALL!$C$2:$C$341,ALL!G$2:G$341)&lt;&gt;"",_xlfn.XLOOKUP($C35,ALL!$C$2:$C$341,ALL!G$2:G$341),"")</f>
        <v/>
      </c>
      <c r="G35" s="70" t="str">
        <f>IF(_xlfn.XLOOKUP($C35,ALL!$C$2:$C$341,ALL!H$2:H$341)&lt;&gt;"",_xlfn.XLOOKUP($C35,ALL!$C$2:$C$341,ALL!H$2:H$341),"")</f>
        <v/>
      </c>
      <c r="H35" s="69" t="str">
        <f>IF(_xlfn.XLOOKUP($C35,ALL!$C$2:$C$341,ALL!I$2:I$341)&lt;&gt;"",_xlfn.XLOOKUP($C35,ALL!$C$2:$C$341,ALL!I$2:I$341),"")</f>
        <v/>
      </c>
      <c r="I35" s="69" t="str">
        <f>IF(_xlfn.XLOOKUP($C35,ALL!$C$2:$C$341,ALL!J$2:J$341)&lt;&gt;"",_xlfn.XLOOKUP($C35,ALL!$C$2:$C$341,ALL!J$2:J$341),"")</f>
        <v/>
      </c>
      <c r="J35" s="70" t="str">
        <f>IF(_xlfn.XLOOKUP($C35,ALL!$C$2:$C$341,ALL!K$2:K$341)&lt;&gt;"",_xlfn.XLOOKUP($C35,ALL!$C$2:$C$341,ALL!K$2:K$341),"")</f>
        <v/>
      </c>
      <c r="K35" s="4" t="str">
        <f>IF(_xlfn.XLOOKUP($C35,ALL!$C$2:$C$341,ALL!L$2:L$341)&lt;&gt;"",_xlfn.XLOOKUP($C35,ALL!$C$2:$C$341,ALL!L$2:L$341),"")</f>
        <v/>
      </c>
      <c r="L35" s="4" t="str">
        <f>IF(_xlfn.XLOOKUP($C35,ALL!$C$2:$C$341,ALL!M$2:M$341)&lt;&gt;"",_xlfn.XLOOKUP($C35,ALL!$C$2:$C$341,ALL!M$2:M$341),"")</f>
        <v/>
      </c>
      <c r="M35" s="4" t="str">
        <f>IF(_xlfn.XLOOKUP($C35,ALL!$C$2:$C$341,ALL!N$2:N$341)&lt;&gt;"",_xlfn.XLOOKUP($C35,ALL!$C$2:$C$341,ALL!N$2:N$341),"")</f>
        <v/>
      </c>
      <c r="N35" s="4" t="str">
        <f>IF(_xlfn.XLOOKUP($C35,ALL!$C$2:$C$341,ALL!O$2:O$341)&lt;&gt;"",_xlfn.XLOOKUP($C35,ALL!$C$2:$C$341,ALL!O$2:O$341),"")</f>
        <v/>
      </c>
    </row>
    <row r="36" spans="1:14" ht="19.2" customHeight="1" x14ac:dyDescent="0.3">
      <c r="A36" s="100" t="str">
        <f>IF(_xlfn.XLOOKUP($C36,ALL!$C$2:$C$341,ALL!A$2:A$341)&lt;&gt;"",_xlfn.XLOOKUP($C36,ALL!$C$2:$C$341,ALL!A$2:A$341),"")</f>
        <v/>
      </c>
      <c r="B36" s="94" t="str">
        <f>IF(_xlfn.XLOOKUP($C36,ALL!$C$2:$C$341,ALL!B$2:B$341)&lt;&gt;"",_xlfn.XLOOKUP($C36,ALL!$C$2:$C$341,ALL!B$2:B$341),"")</f>
        <v/>
      </c>
      <c r="D36" s="69" t="str">
        <f>IF(_xlfn.XLOOKUP($C36,ALL!$C$2:$C$341,ALL!D$2:D$341)&lt;&gt;"",_xlfn.XLOOKUP($C36,ALL!$C$2:$C$341,ALL!D$2:D$341),"")</f>
        <v/>
      </c>
      <c r="E36" s="69" t="str">
        <f>IF(_xlfn.XLOOKUP($C36,ALL!$C$2:$C$341,ALL!F$2:F$341)&lt;&gt;"",_xlfn.XLOOKUP($C36,ALL!$C$2:$C$341,ALL!F$2:F$341),"")</f>
        <v/>
      </c>
      <c r="F36" s="69" t="str">
        <f>IF(_xlfn.XLOOKUP($C36,ALL!$C$2:$C$341,ALL!G$2:G$341)&lt;&gt;"",_xlfn.XLOOKUP($C36,ALL!$C$2:$C$341,ALL!G$2:G$341),"")</f>
        <v/>
      </c>
      <c r="G36" s="70" t="str">
        <f>IF(_xlfn.XLOOKUP($C36,ALL!$C$2:$C$341,ALL!H$2:H$341)&lt;&gt;"",_xlfn.XLOOKUP($C36,ALL!$C$2:$C$341,ALL!H$2:H$341),"")</f>
        <v/>
      </c>
      <c r="H36" s="69" t="str">
        <f>IF(_xlfn.XLOOKUP($C36,ALL!$C$2:$C$341,ALL!I$2:I$341)&lt;&gt;"",_xlfn.XLOOKUP($C36,ALL!$C$2:$C$341,ALL!I$2:I$341),"")</f>
        <v/>
      </c>
      <c r="I36" s="69" t="str">
        <f>IF(_xlfn.XLOOKUP($C36,ALL!$C$2:$C$341,ALL!J$2:J$341)&lt;&gt;"",_xlfn.XLOOKUP($C36,ALL!$C$2:$C$341,ALL!J$2:J$341),"")</f>
        <v/>
      </c>
      <c r="J36" s="70" t="str">
        <f>IF(_xlfn.XLOOKUP($C36,ALL!$C$2:$C$341,ALL!K$2:K$341)&lt;&gt;"",_xlfn.XLOOKUP($C36,ALL!$C$2:$C$341,ALL!K$2:K$341),"")</f>
        <v/>
      </c>
      <c r="K36" s="4" t="str">
        <f>IF(_xlfn.XLOOKUP($C36,ALL!$C$2:$C$341,ALL!L$2:L$341)&lt;&gt;"",_xlfn.XLOOKUP($C36,ALL!$C$2:$C$341,ALL!L$2:L$341),"")</f>
        <v/>
      </c>
      <c r="L36" s="4" t="str">
        <f>IF(_xlfn.XLOOKUP($C36,ALL!$C$2:$C$341,ALL!M$2:M$341)&lt;&gt;"",_xlfn.XLOOKUP($C36,ALL!$C$2:$C$341,ALL!M$2:M$341),"")</f>
        <v/>
      </c>
      <c r="M36" s="4" t="str">
        <f>IF(_xlfn.XLOOKUP($C36,ALL!$C$2:$C$341,ALL!N$2:N$341)&lt;&gt;"",_xlfn.XLOOKUP($C36,ALL!$C$2:$C$341,ALL!N$2:N$341),"")</f>
        <v/>
      </c>
      <c r="N36" s="4" t="str">
        <f>IF(_xlfn.XLOOKUP($C36,ALL!$C$2:$C$341,ALL!O$2:O$341)&lt;&gt;"",_xlfn.XLOOKUP($C36,ALL!$C$2:$C$341,ALL!O$2:O$341),"")</f>
        <v/>
      </c>
    </row>
    <row r="37" spans="1:14" ht="19.2" customHeight="1" x14ac:dyDescent="0.3">
      <c r="A37" s="100" t="str">
        <f>IF(_xlfn.XLOOKUP($C37,ALL!$C$2:$C$341,ALL!A$2:A$341)&lt;&gt;"",_xlfn.XLOOKUP($C37,ALL!$C$2:$C$341,ALL!A$2:A$341),"")</f>
        <v/>
      </c>
      <c r="B37" s="94" t="str">
        <f>IF(_xlfn.XLOOKUP($C37,ALL!$C$2:$C$341,ALL!B$2:B$341)&lt;&gt;"",_xlfn.XLOOKUP($C37,ALL!$C$2:$C$341,ALL!B$2:B$341),"")</f>
        <v/>
      </c>
      <c r="D37" s="69" t="str">
        <f>IF(_xlfn.XLOOKUP($C37,ALL!$C$2:$C$341,ALL!D$2:D$341)&lt;&gt;"",_xlfn.XLOOKUP($C37,ALL!$C$2:$C$341,ALL!D$2:D$341),"")</f>
        <v/>
      </c>
      <c r="E37" s="69" t="str">
        <f>IF(_xlfn.XLOOKUP($C37,ALL!$C$2:$C$341,ALL!F$2:F$341)&lt;&gt;"",_xlfn.XLOOKUP($C37,ALL!$C$2:$C$341,ALL!F$2:F$341),"")</f>
        <v/>
      </c>
      <c r="F37" s="69" t="str">
        <f>IF(_xlfn.XLOOKUP($C37,ALL!$C$2:$C$341,ALL!G$2:G$341)&lt;&gt;"",_xlfn.XLOOKUP($C37,ALL!$C$2:$C$341,ALL!G$2:G$341),"")</f>
        <v/>
      </c>
      <c r="G37" s="70" t="str">
        <f>IF(_xlfn.XLOOKUP($C37,ALL!$C$2:$C$341,ALL!H$2:H$341)&lt;&gt;"",_xlfn.XLOOKUP($C37,ALL!$C$2:$C$341,ALL!H$2:H$341),"")</f>
        <v/>
      </c>
      <c r="H37" s="69" t="str">
        <f>IF(_xlfn.XLOOKUP($C37,ALL!$C$2:$C$341,ALL!I$2:I$341)&lt;&gt;"",_xlfn.XLOOKUP($C37,ALL!$C$2:$C$341,ALL!I$2:I$341),"")</f>
        <v/>
      </c>
      <c r="I37" s="69" t="str">
        <f>IF(_xlfn.XLOOKUP($C37,ALL!$C$2:$C$341,ALL!J$2:J$341)&lt;&gt;"",_xlfn.XLOOKUP($C37,ALL!$C$2:$C$341,ALL!J$2:J$341),"")</f>
        <v/>
      </c>
      <c r="J37" s="70" t="str">
        <f>IF(_xlfn.XLOOKUP($C37,ALL!$C$2:$C$341,ALL!K$2:K$341)&lt;&gt;"",_xlfn.XLOOKUP($C37,ALL!$C$2:$C$341,ALL!K$2:K$341),"")</f>
        <v/>
      </c>
      <c r="K37" s="4" t="str">
        <f>IF(_xlfn.XLOOKUP($C37,ALL!$C$2:$C$341,ALL!L$2:L$341)&lt;&gt;"",_xlfn.XLOOKUP($C37,ALL!$C$2:$C$341,ALL!L$2:L$341),"")</f>
        <v/>
      </c>
      <c r="L37" s="4" t="str">
        <f>IF(_xlfn.XLOOKUP($C37,ALL!$C$2:$C$341,ALL!M$2:M$341)&lt;&gt;"",_xlfn.XLOOKUP($C37,ALL!$C$2:$C$341,ALL!M$2:M$341),"")</f>
        <v/>
      </c>
      <c r="M37" s="4" t="str">
        <f>IF(_xlfn.XLOOKUP($C37,ALL!$C$2:$C$341,ALL!N$2:N$341)&lt;&gt;"",_xlfn.XLOOKUP($C37,ALL!$C$2:$C$341,ALL!N$2:N$341),"")</f>
        <v/>
      </c>
      <c r="N37" s="4" t="str">
        <f>IF(_xlfn.XLOOKUP($C37,ALL!$C$2:$C$341,ALL!O$2:O$341)&lt;&gt;"",_xlfn.XLOOKUP($C37,ALL!$C$2:$C$341,ALL!O$2:O$341),"")</f>
        <v/>
      </c>
    </row>
    <row r="38" spans="1:14" ht="19.2" customHeight="1" x14ac:dyDescent="0.3">
      <c r="A38" s="100" t="str">
        <f>IF(_xlfn.XLOOKUP($C38,ALL!$C$2:$C$341,ALL!A$2:A$341)&lt;&gt;"",_xlfn.XLOOKUP($C38,ALL!$C$2:$C$341,ALL!A$2:A$341),"")</f>
        <v/>
      </c>
      <c r="B38" s="94" t="str">
        <f>IF(_xlfn.XLOOKUP($C38,ALL!$C$2:$C$341,ALL!B$2:B$341)&lt;&gt;"",_xlfn.XLOOKUP($C38,ALL!$C$2:$C$341,ALL!B$2:B$341),"")</f>
        <v/>
      </c>
      <c r="D38" s="69" t="str">
        <f>IF(_xlfn.XLOOKUP($C38,ALL!$C$2:$C$341,ALL!D$2:D$341)&lt;&gt;"",_xlfn.XLOOKUP($C38,ALL!$C$2:$C$341,ALL!D$2:D$341),"")</f>
        <v/>
      </c>
      <c r="E38" s="69" t="str">
        <f>IF(_xlfn.XLOOKUP($C38,ALL!$C$2:$C$341,ALL!F$2:F$341)&lt;&gt;"",_xlfn.XLOOKUP($C38,ALL!$C$2:$C$341,ALL!F$2:F$341),"")</f>
        <v/>
      </c>
      <c r="F38" s="69" t="str">
        <f>IF(_xlfn.XLOOKUP($C38,ALL!$C$2:$C$341,ALL!G$2:G$341)&lt;&gt;"",_xlfn.XLOOKUP($C38,ALL!$C$2:$C$341,ALL!G$2:G$341),"")</f>
        <v/>
      </c>
      <c r="G38" s="70" t="str">
        <f>IF(_xlfn.XLOOKUP($C38,ALL!$C$2:$C$341,ALL!H$2:H$341)&lt;&gt;"",_xlfn.XLOOKUP($C38,ALL!$C$2:$C$341,ALL!H$2:H$341),"")</f>
        <v/>
      </c>
      <c r="H38" s="69" t="str">
        <f>IF(_xlfn.XLOOKUP($C38,ALL!$C$2:$C$341,ALL!I$2:I$341)&lt;&gt;"",_xlfn.XLOOKUP($C38,ALL!$C$2:$C$341,ALL!I$2:I$341),"")</f>
        <v/>
      </c>
      <c r="I38" s="69" t="str">
        <f>IF(_xlfn.XLOOKUP($C38,ALL!$C$2:$C$341,ALL!J$2:J$341)&lt;&gt;"",_xlfn.XLOOKUP($C38,ALL!$C$2:$C$341,ALL!J$2:J$341),"")</f>
        <v/>
      </c>
      <c r="J38" s="70" t="str">
        <f>IF(_xlfn.XLOOKUP($C38,ALL!$C$2:$C$341,ALL!K$2:K$341)&lt;&gt;"",_xlfn.XLOOKUP($C38,ALL!$C$2:$C$341,ALL!K$2:K$341),"")</f>
        <v/>
      </c>
      <c r="K38" s="4" t="str">
        <f>IF(_xlfn.XLOOKUP($C38,ALL!$C$2:$C$341,ALL!L$2:L$341)&lt;&gt;"",_xlfn.XLOOKUP($C38,ALL!$C$2:$C$341,ALL!L$2:L$341),"")</f>
        <v/>
      </c>
      <c r="L38" s="4" t="str">
        <f>IF(_xlfn.XLOOKUP($C38,ALL!$C$2:$C$341,ALL!M$2:M$341)&lt;&gt;"",_xlfn.XLOOKUP($C38,ALL!$C$2:$C$341,ALL!M$2:M$341),"")</f>
        <v/>
      </c>
      <c r="M38" s="4" t="str">
        <f>IF(_xlfn.XLOOKUP($C38,ALL!$C$2:$C$341,ALL!N$2:N$341)&lt;&gt;"",_xlfn.XLOOKUP($C38,ALL!$C$2:$C$341,ALL!N$2:N$341),"")</f>
        <v/>
      </c>
      <c r="N38" s="4" t="str">
        <f>IF(_xlfn.XLOOKUP($C38,ALL!$C$2:$C$341,ALL!O$2:O$341)&lt;&gt;"",_xlfn.XLOOKUP($C38,ALL!$C$2:$C$341,ALL!O$2:O$341),"")</f>
        <v/>
      </c>
    </row>
    <row r="39" spans="1:14" ht="19.2" customHeight="1" x14ac:dyDescent="0.3">
      <c r="A39" s="100" t="str">
        <f>IF(_xlfn.XLOOKUP($C39,ALL!$C$2:$C$341,ALL!A$2:A$341)&lt;&gt;"",_xlfn.XLOOKUP($C39,ALL!$C$2:$C$341,ALL!A$2:A$341),"")</f>
        <v/>
      </c>
      <c r="B39" s="94" t="str">
        <f>IF(_xlfn.XLOOKUP($C39,ALL!$C$2:$C$341,ALL!B$2:B$341)&lt;&gt;"",_xlfn.XLOOKUP($C39,ALL!$C$2:$C$341,ALL!B$2:B$341),"")</f>
        <v/>
      </c>
      <c r="D39" s="69" t="str">
        <f>IF(_xlfn.XLOOKUP($C39,ALL!$C$2:$C$341,ALL!D$2:D$341)&lt;&gt;"",_xlfn.XLOOKUP($C39,ALL!$C$2:$C$341,ALL!D$2:D$341),"")</f>
        <v/>
      </c>
      <c r="E39" s="69" t="str">
        <f>IF(_xlfn.XLOOKUP($C39,ALL!$C$2:$C$341,ALL!F$2:F$341)&lt;&gt;"",_xlfn.XLOOKUP($C39,ALL!$C$2:$C$341,ALL!F$2:F$341),"")</f>
        <v/>
      </c>
      <c r="F39" s="69" t="str">
        <f>IF(_xlfn.XLOOKUP($C39,ALL!$C$2:$C$341,ALL!G$2:G$341)&lt;&gt;"",_xlfn.XLOOKUP($C39,ALL!$C$2:$C$341,ALL!G$2:G$341),"")</f>
        <v/>
      </c>
      <c r="G39" s="70" t="str">
        <f>IF(_xlfn.XLOOKUP($C39,ALL!$C$2:$C$341,ALL!H$2:H$341)&lt;&gt;"",_xlfn.XLOOKUP($C39,ALL!$C$2:$C$341,ALL!H$2:H$341),"")</f>
        <v/>
      </c>
      <c r="H39" s="69" t="str">
        <f>IF(_xlfn.XLOOKUP($C39,ALL!$C$2:$C$341,ALL!I$2:I$341)&lt;&gt;"",_xlfn.XLOOKUP($C39,ALL!$C$2:$C$341,ALL!I$2:I$341),"")</f>
        <v/>
      </c>
      <c r="I39" s="69" t="str">
        <f>IF(_xlfn.XLOOKUP($C39,ALL!$C$2:$C$341,ALL!J$2:J$341)&lt;&gt;"",_xlfn.XLOOKUP($C39,ALL!$C$2:$C$341,ALL!J$2:J$341),"")</f>
        <v/>
      </c>
      <c r="J39" s="70" t="str">
        <f>IF(_xlfn.XLOOKUP($C39,ALL!$C$2:$C$341,ALL!K$2:K$341)&lt;&gt;"",_xlfn.XLOOKUP($C39,ALL!$C$2:$C$341,ALL!K$2:K$341),"")</f>
        <v/>
      </c>
      <c r="K39" s="4" t="str">
        <f>IF(_xlfn.XLOOKUP($C39,ALL!$C$2:$C$341,ALL!L$2:L$341)&lt;&gt;"",_xlfn.XLOOKUP($C39,ALL!$C$2:$C$341,ALL!L$2:L$341),"")</f>
        <v/>
      </c>
      <c r="L39" s="4" t="str">
        <f>IF(_xlfn.XLOOKUP($C39,ALL!$C$2:$C$341,ALL!M$2:M$341)&lt;&gt;"",_xlfn.XLOOKUP($C39,ALL!$C$2:$C$341,ALL!M$2:M$341),"")</f>
        <v/>
      </c>
      <c r="M39" s="4" t="str">
        <f>IF(_xlfn.XLOOKUP($C39,ALL!$C$2:$C$341,ALL!N$2:N$341)&lt;&gt;"",_xlfn.XLOOKUP($C39,ALL!$C$2:$C$341,ALL!N$2:N$341),"")</f>
        <v/>
      </c>
      <c r="N39" s="4" t="str">
        <f>IF(_xlfn.XLOOKUP($C39,ALL!$C$2:$C$341,ALL!O$2:O$341)&lt;&gt;"",_xlfn.XLOOKUP($C39,ALL!$C$2:$C$341,ALL!O$2:O$341),"")</f>
        <v/>
      </c>
    </row>
    <row r="40" spans="1:14" ht="19.2" customHeight="1" x14ac:dyDescent="0.3">
      <c r="A40" s="100" t="str">
        <f>IF(_xlfn.XLOOKUP($C40,ALL!$C$2:$C$341,ALL!A$2:A$341)&lt;&gt;"",_xlfn.XLOOKUP($C40,ALL!$C$2:$C$341,ALL!A$2:A$341),"")</f>
        <v/>
      </c>
      <c r="B40" s="94" t="str">
        <f>IF(_xlfn.XLOOKUP($C40,ALL!$C$2:$C$341,ALL!B$2:B$341)&lt;&gt;"",_xlfn.XLOOKUP($C40,ALL!$C$2:$C$341,ALL!B$2:B$341),"")</f>
        <v/>
      </c>
      <c r="D40" s="69" t="str">
        <f>IF(_xlfn.XLOOKUP($C40,ALL!$C$2:$C$341,ALL!D$2:D$341)&lt;&gt;"",_xlfn.XLOOKUP($C40,ALL!$C$2:$C$341,ALL!D$2:D$341),"")</f>
        <v/>
      </c>
      <c r="E40" s="69" t="str">
        <f>IF(_xlfn.XLOOKUP($C40,ALL!$C$2:$C$341,ALL!F$2:F$341)&lt;&gt;"",_xlfn.XLOOKUP($C40,ALL!$C$2:$C$341,ALL!F$2:F$341),"")</f>
        <v/>
      </c>
      <c r="F40" s="69" t="str">
        <f>IF(_xlfn.XLOOKUP($C40,ALL!$C$2:$C$341,ALL!G$2:G$341)&lt;&gt;"",_xlfn.XLOOKUP($C40,ALL!$C$2:$C$341,ALL!G$2:G$341),"")</f>
        <v/>
      </c>
      <c r="G40" s="70" t="str">
        <f>IF(_xlfn.XLOOKUP($C40,ALL!$C$2:$C$341,ALL!H$2:H$341)&lt;&gt;"",_xlfn.XLOOKUP($C40,ALL!$C$2:$C$341,ALL!H$2:H$341),"")</f>
        <v/>
      </c>
      <c r="H40" s="69" t="str">
        <f>IF(_xlfn.XLOOKUP($C40,ALL!$C$2:$C$341,ALL!I$2:I$341)&lt;&gt;"",_xlfn.XLOOKUP($C40,ALL!$C$2:$C$341,ALL!I$2:I$341),"")</f>
        <v/>
      </c>
      <c r="I40" s="69" t="str">
        <f>IF(_xlfn.XLOOKUP($C40,ALL!$C$2:$C$341,ALL!J$2:J$341)&lt;&gt;"",_xlfn.XLOOKUP($C40,ALL!$C$2:$C$341,ALL!J$2:J$341),"")</f>
        <v/>
      </c>
      <c r="J40" s="70" t="str">
        <f>IF(_xlfn.XLOOKUP($C40,ALL!$C$2:$C$341,ALL!K$2:K$341)&lt;&gt;"",_xlfn.XLOOKUP($C40,ALL!$C$2:$C$341,ALL!K$2:K$341),"")</f>
        <v/>
      </c>
      <c r="K40" s="4" t="str">
        <f>IF(_xlfn.XLOOKUP($C40,ALL!$C$2:$C$341,ALL!L$2:L$341)&lt;&gt;"",_xlfn.XLOOKUP($C40,ALL!$C$2:$C$341,ALL!L$2:L$341),"")</f>
        <v/>
      </c>
      <c r="L40" s="4" t="str">
        <f>IF(_xlfn.XLOOKUP($C40,ALL!$C$2:$C$341,ALL!M$2:M$341)&lt;&gt;"",_xlfn.XLOOKUP($C40,ALL!$C$2:$C$341,ALL!M$2:M$341),"")</f>
        <v/>
      </c>
      <c r="M40" s="4" t="str">
        <f>IF(_xlfn.XLOOKUP($C40,ALL!$C$2:$C$341,ALL!N$2:N$341)&lt;&gt;"",_xlfn.XLOOKUP($C40,ALL!$C$2:$C$341,ALL!N$2:N$341),"")</f>
        <v/>
      </c>
      <c r="N40" s="4" t="str">
        <f>IF(_xlfn.XLOOKUP($C40,ALL!$C$2:$C$341,ALL!O$2:O$341)&lt;&gt;"",_xlfn.XLOOKUP($C40,ALL!$C$2:$C$341,ALL!O$2:O$341),"")</f>
        <v/>
      </c>
    </row>
    <row r="41" spans="1:14" ht="19.2" customHeight="1" x14ac:dyDescent="0.3">
      <c r="A41" s="100" t="str">
        <f>IF(_xlfn.XLOOKUP($C41,ALL!$C$2:$C$341,ALL!A$2:A$341)&lt;&gt;"",_xlfn.XLOOKUP($C41,ALL!$C$2:$C$341,ALL!A$2:A$341),"")</f>
        <v/>
      </c>
      <c r="B41" s="94" t="str">
        <f>IF(_xlfn.XLOOKUP($C41,ALL!$C$2:$C$341,ALL!B$2:B$341)&lt;&gt;"",_xlfn.XLOOKUP($C41,ALL!$C$2:$C$341,ALL!B$2:B$341),"")</f>
        <v/>
      </c>
      <c r="D41" s="69" t="str">
        <f>IF(_xlfn.XLOOKUP($C41,ALL!$C$2:$C$341,ALL!D$2:D$341)&lt;&gt;"",_xlfn.XLOOKUP($C41,ALL!$C$2:$C$341,ALL!D$2:D$341),"")</f>
        <v/>
      </c>
      <c r="E41" s="69" t="str">
        <f>IF(_xlfn.XLOOKUP($C41,ALL!$C$2:$C$341,ALL!F$2:F$341)&lt;&gt;"",_xlfn.XLOOKUP($C41,ALL!$C$2:$C$341,ALL!F$2:F$341),"")</f>
        <v/>
      </c>
      <c r="F41" s="69" t="str">
        <f>IF(_xlfn.XLOOKUP($C41,ALL!$C$2:$C$341,ALL!G$2:G$341)&lt;&gt;"",_xlfn.XLOOKUP($C41,ALL!$C$2:$C$341,ALL!G$2:G$341),"")</f>
        <v/>
      </c>
      <c r="G41" s="70" t="str">
        <f>IF(_xlfn.XLOOKUP($C41,ALL!$C$2:$C$341,ALL!H$2:H$341)&lt;&gt;"",_xlfn.XLOOKUP($C41,ALL!$C$2:$C$341,ALL!H$2:H$341),"")</f>
        <v/>
      </c>
      <c r="H41" s="69" t="str">
        <f>IF(_xlfn.XLOOKUP($C41,ALL!$C$2:$C$341,ALL!I$2:I$341)&lt;&gt;"",_xlfn.XLOOKUP($C41,ALL!$C$2:$C$341,ALL!I$2:I$341),"")</f>
        <v/>
      </c>
      <c r="I41" s="69" t="str">
        <f>IF(_xlfn.XLOOKUP($C41,ALL!$C$2:$C$341,ALL!J$2:J$341)&lt;&gt;"",_xlfn.XLOOKUP($C41,ALL!$C$2:$C$341,ALL!J$2:J$341),"")</f>
        <v/>
      </c>
      <c r="J41" s="70" t="str">
        <f>IF(_xlfn.XLOOKUP($C41,ALL!$C$2:$C$341,ALL!K$2:K$341)&lt;&gt;"",_xlfn.XLOOKUP($C41,ALL!$C$2:$C$341,ALL!K$2:K$341),"")</f>
        <v/>
      </c>
      <c r="K41" s="4" t="str">
        <f>IF(_xlfn.XLOOKUP($C41,ALL!$C$2:$C$341,ALL!L$2:L$341)&lt;&gt;"",_xlfn.XLOOKUP($C41,ALL!$C$2:$C$341,ALL!L$2:L$341),"")</f>
        <v/>
      </c>
      <c r="L41" s="4" t="str">
        <f>IF(_xlfn.XLOOKUP($C41,ALL!$C$2:$C$341,ALL!M$2:M$341)&lt;&gt;"",_xlfn.XLOOKUP($C41,ALL!$C$2:$C$341,ALL!M$2:M$341),"")</f>
        <v/>
      </c>
      <c r="M41" s="4" t="str">
        <f>IF(_xlfn.XLOOKUP($C41,ALL!$C$2:$C$341,ALL!N$2:N$341)&lt;&gt;"",_xlfn.XLOOKUP($C41,ALL!$C$2:$C$341,ALL!N$2:N$341),"")</f>
        <v/>
      </c>
      <c r="N41" s="4" t="str">
        <f>IF(_xlfn.XLOOKUP($C41,ALL!$C$2:$C$341,ALL!O$2:O$341)&lt;&gt;"",_xlfn.XLOOKUP($C41,ALL!$C$2:$C$341,ALL!O$2:O$341),"")</f>
        <v/>
      </c>
    </row>
    <row r="42" spans="1:14" ht="19.2" customHeight="1" x14ac:dyDescent="0.3">
      <c r="A42" s="100" t="str">
        <f>IF(_xlfn.XLOOKUP($C42,ALL!$C$2:$C$341,ALL!A$2:A$341)&lt;&gt;"",_xlfn.XLOOKUP($C42,ALL!$C$2:$C$341,ALL!A$2:A$341),"")</f>
        <v/>
      </c>
      <c r="B42" s="94" t="str">
        <f>IF(_xlfn.XLOOKUP($C42,ALL!$C$2:$C$341,ALL!B$2:B$341)&lt;&gt;"",_xlfn.XLOOKUP($C42,ALL!$C$2:$C$341,ALL!B$2:B$341),"")</f>
        <v/>
      </c>
      <c r="D42" s="69" t="str">
        <f>IF(_xlfn.XLOOKUP($C42,ALL!$C$2:$C$341,ALL!D$2:D$341)&lt;&gt;"",_xlfn.XLOOKUP($C42,ALL!$C$2:$C$341,ALL!D$2:D$341),"")</f>
        <v/>
      </c>
      <c r="E42" s="69" t="str">
        <f>IF(_xlfn.XLOOKUP($C42,ALL!$C$2:$C$341,ALL!F$2:F$341)&lt;&gt;"",_xlfn.XLOOKUP($C42,ALL!$C$2:$C$341,ALL!F$2:F$341),"")</f>
        <v/>
      </c>
      <c r="F42" s="69" t="str">
        <f>IF(_xlfn.XLOOKUP($C42,ALL!$C$2:$C$341,ALL!G$2:G$341)&lt;&gt;"",_xlfn.XLOOKUP($C42,ALL!$C$2:$C$341,ALL!G$2:G$341),"")</f>
        <v/>
      </c>
      <c r="G42" s="70" t="str">
        <f>IF(_xlfn.XLOOKUP($C42,ALL!$C$2:$C$341,ALL!H$2:H$341)&lt;&gt;"",_xlfn.XLOOKUP($C42,ALL!$C$2:$C$341,ALL!H$2:H$341),"")</f>
        <v/>
      </c>
      <c r="H42" s="69" t="str">
        <f>IF(_xlfn.XLOOKUP($C42,ALL!$C$2:$C$341,ALL!I$2:I$341)&lt;&gt;"",_xlfn.XLOOKUP($C42,ALL!$C$2:$C$341,ALL!I$2:I$341),"")</f>
        <v/>
      </c>
      <c r="I42" s="69" t="str">
        <f>IF(_xlfn.XLOOKUP($C42,ALL!$C$2:$C$341,ALL!J$2:J$341)&lt;&gt;"",_xlfn.XLOOKUP($C42,ALL!$C$2:$C$341,ALL!J$2:J$341),"")</f>
        <v/>
      </c>
      <c r="J42" s="70" t="str">
        <f>IF(_xlfn.XLOOKUP($C42,ALL!$C$2:$C$341,ALL!K$2:K$341)&lt;&gt;"",_xlfn.XLOOKUP($C42,ALL!$C$2:$C$341,ALL!K$2:K$341),"")</f>
        <v/>
      </c>
      <c r="K42" s="4" t="str">
        <f>IF(_xlfn.XLOOKUP($C42,ALL!$C$2:$C$341,ALL!L$2:L$341)&lt;&gt;"",_xlfn.XLOOKUP($C42,ALL!$C$2:$C$341,ALL!L$2:L$341),"")</f>
        <v/>
      </c>
      <c r="L42" s="4" t="str">
        <f>IF(_xlfn.XLOOKUP($C42,ALL!$C$2:$C$341,ALL!M$2:M$341)&lt;&gt;"",_xlfn.XLOOKUP($C42,ALL!$C$2:$C$341,ALL!M$2:M$341),"")</f>
        <v/>
      </c>
      <c r="M42" s="4" t="str">
        <f>IF(_xlfn.XLOOKUP($C42,ALL!$C$2:$C$341,ALL!N$2:N$341)&lt;&gt;"",_xlfn.XLOOKUP($C42,ALL!$C$2:$C$341,ALL!N$2:N$341),"")</f>
        <v/>
      </c>
      <c r="N42" s="4" t="str">
        <f>IF(_xlfn.XLOOKUP($C42,ALL!$C$2:$C$341,ALL!O$2:O$341)&lt;&gt;"",_xlfn.XLOOKUP($C42,ALL!$C$2:$C$341,ALL!O$2:O$341),"")</f>
        <v/>
      </c>
    </row>
    <row r="43" spans="1:14" ht="19.2" customHeight="1" x14ac:dyDescent="0.3">
      <c r="A43" s="100" t="str">
        <f>IF(_xlfn.XLOOKUP($C43,ALL!$C$2:$C$341,ALL!A$2:A$341)&lt;&gt;"",_xlfn.XLOOKUP($C43,ALL!$C$2:$C$341,ALL!A$2:A$341),"")</f>
        <v/>
      </c>
      <c r="B43" s="94" t="str">
        <f>IF(_xlfn.XLOOKUP($C43,ALL!$C$2:$C$341,ALL!B$2:B$341)&lt;&gt;"",_xlfn.XLOOKUP($C43,ALL!$C$2:$C$341,ALL!B$2:B$341),"")</f>
        <v/>
      </c>
      <c r="D43" s="69" t="str">
        <f>IF(_xlfn.XLOOKUP($C43,ALL!$C$2:$C$341,ALL!D$2:D$341)&lt;&gt;"",_xlfn.XLOOKUP($C43,ALL!$C$2:$C$341,ALL!D$2:D$341),"")</f>
        <v/>
      </c>
      <c r="E43" s="69" t="str">
        <f>IF(_xlfn.XLOOKUP($C43,ALL!$C$2:$C$341,ALL!F$2:F$341)&lt;&gt;"",_xlfn.XLOOKUP($C43,ALL!$C$2:$C$341,ALL!F$2:F$341),"")</f>
        <v/>
      </c>
      <c r="F43" s="69" t="str">
        <f>IF(_xlfn.XLOOKUP($C43,ALL!$C$2:$C$341,ALL!G$2:G$341)&lt;&gt;"",_xlfn.XLOOKUP($C43,ALL!$C$2:$C$341,ALL!G$2:G$341),"")</f>
        <v/>
      </c>
      <c r="G43" s="70" t="str">
        <f>IF(_xlfn.XLOOKUP($C43,ALL!$C$2:$C$341,ALL!H$2:H$341)&lt;&gt;"",_xlfn.XLOOKUP($C43,ALL!$C$2:$C$341,ALL!H$2:H$341),"")</f>
        <v/>
      </c>
      <c r="H43" s="69" t="str">
        <f>IF(_xlfn.XLOOKUP($C43,ALL!$C$2:$C$341,ALL!I$2:I$341)&lt;&gt;"",_xlfn.XLOOKUP($C43,ALL!$C$2:$C$341,ALL!I$2:I$341),"")</f>
        <v/>
      </c>
      <c r="I43" s="69" t="str">
        <f>IF(_xlfn.XLOOKUP($C43,ALL!$C$2:$C$341,ALL!J$2:J$341)&lt;&gt;"",_xlfn.XLOOKUP($C43,ALL!$C$2:$C$341,ALL!J$2:J$341),"")</f>
        <v/>
      </c>
      <c r="J43" s="70" t="str">
        <f>IF(_xlfn.XLOOKUP($C43,ALL!$C$2:$C$341,ALL!K$2:K$341)&lt;&gt;"",_xlfn.XLOOKUP($C43,ALL!$C$2:$C$341,ALL!K$2:K$341),"")</f>
        <v/>
      </c>
      <c r="K43" s="4" t="str">
        <f>IF(_xlfn.XLOOKUP($C43,ALL!$C$2:$C$341,ALL!L$2:L$341)&lt;&gt;"",_xlfn.XLOOKUP($C43,ALL!$C$2:$C$341,ALL!L$2:L$341),"")</f>
        <v/>
      </c>
      <c r="L43" s="4" t="str">
        <f>IF(_xlfn.XLOOKUP($C43,ALL!$C$2:$C$341,ALL!M$2:M$341)&lt;&gt;"",_xlfn.XLOOKUP($C43,ALL!$C$2:$C$341,ALL!M$2:M$341),"")</f>
        <v/>
      </c>
      <c r="M43" s="4" t="str">
        <f>IF(_xlfn.XLOOKUP($C43,ALL!$C$2:$C$341,ALL!N$2:N$341)&lt;&gt;"",_xlfn.XLOOKUP($C43,ALL!$C$2:$C$341,ALL!N$2:N$341),"")</f>
        <v/>
      </c>
      <c r="N43" s="4" t="str">
        <f>IF(_xlfn.XLOOKUP($C43,ALL!$C$2:$C$341,ALL!O$2:O$341)&lt;&gt;"",_xlfn.XLOOKUP($C43,ALL!$C$2:$C$341,ALL!O$2:O$341),"")</f>
        <v/>
      </c>
    </row>
    <row r="44" spans="1:14" ht="19.2" customHeight="1" x14ac:dyDescent="0.3">
      <c r="A44" s="100" t="str">
        <f t="shared" ref="A44:A75" si="0">IF(C44="","",($A$1-G44)-365)</f>
        <v/>
      </c>
      <c r="B44" s="94" t="str">
        <f>IF(_xlfn.XLOOKUP($C44,ALL!$C$2:$C$341,ALL!B$2:B$341)&lt;&gt;"",_xlfn.XLOOKUP($C44,ALL!$C$2:$C$341,ALL!B$2:B$341),"")</f>
        <v/>
      </c>
      <c r="D44" s="69" t="str">
        <f>IF(_xlfn.XLOOKUP($C44,ALL!$C$2:$C$341,ALL!D$2:D$341)&lt;&gt;"",_xlfn.XLOOKUP($C44,ALL!$C$2:$C$341,ALL!D$2:D$341),"")</f>
        <v/>
      </c>
      <c r="E44" s="69" t="str">
        <f>IF(_xlfn.XLOOKUP($C44,ALL!$C$2:$C$341,ALL!F$2:F$341)&lt;&gt;"",_xlfn.XLOOKUP($C44,ALL!$C$2:$C$341,ALL!F$2:F$341),"")</f>
        <v/>
      </c>
      <c r="F44" s="69" t="str">
        <f>IF(_xlfn.XLOOKUP($C44,ALL!$C$2:$C$341,ALL!G$2:G$341)&lt;&gt;"",_xlfn.XLOOKUP($C44,ALL!$C$2:$C$341,ALL!G$2:G$341),"")</f>
        <v/>
      </c>
      <c r="G44" s="70" t="str">
        <f>IF(_xlfn.XLOOKUP($C44,ALL!$C$2:$C$341,ALL!H$2:H$341)&lt;&gt;"",_xlfn.XLOOKUP($C44,ALL!$C$2:$C$341,ALL!H$2:H$341),"")</f>
        <v/>
      </c>
      <c r="H44" s="69" t="str">
        <f>IF(_xlfn.XLOOKUP($C44,ALL!$C$2:$C$341,ALL!I$2:I$341)&lt;&gt;"",_xlfn.XLOOKUP($C44,ALL!$C$2:$C$341,ALL!I$2:I$341),"")</f>
        <v/>
      </c>
      <c r="I44" s="69" t="str">
        <f>IF(_xlfn.XLOOKUP($C44,ALL!$C$2:$C$341,ALL!J$2:J$341)&lt;&gt;"",_xlfn.XLOOKUP($C44,ALL!$C$2:$C$341,ALL!J$2:J$341),"")</f>
        <v/>
      </c>
      <c r="J44" s="70" t="str">
        <f>IF(_xlfn.XLOOKUP($C44,ALL!$C$2:$C$341,ALL!K$2:K$341)&lt;&gt;"",_xlfn.XLOOKUP($C44,ALL!$C$2:$C$341,ALL!K$2:K$341),"")</f>
        <v/>
      </c>
      <c r="K44" s="4" t="str">
        <f>IF(_xlfn.XLOOKUP($C44,ALL!$C$2:$C$341,ALL!L$2:L$341)&lt;&gt;"",_xlfn.XLOOKUP($C44,ALL!$C$2:$C$341,ALL!L$2:L$341),"")</f>
        <v/>
      </c>
      <c r="L44" s="4" t="str">
        <f>IF(_xlfn.XLOOKUP($C44,ALL!$C$2:$C$341,ALL!M$2:M$341)&lt;&gt;"",_xlfn.XLOOKUP($C44,ALL!$C$2:$C$341,ALL!M$2:M$341),"")</f>
        <v/>
      </c>
      <c r="M44" s="4" t="str">
        <f>IF(_xlfn.XLOOKUP($C44,ALL!$C$2:$C$341,ALL!N$2:N$341)&lt;&gt;"",_xlfn.XLOOKUP($C44,ALL!$C$2:$C$341,ALL!N$2:N$341),"")</f>
        <v/>
      </c>
    </row>
    <row r="45" spans="1:14" ht="19.2" customHeight="1" x14ac:dyDescent="0.3">
      <c r="A45" s="100" t="str">
        <f t="shared" si="0"/>
        <v/>
      </c>
      <c r="B45" s="94" t="str">
        <f>IF(_xlfn.XLOOKUP($C45,ALL!$C$2:$C$341,ALL!B$2:B$341)&lt;&gt;"",_xlfn.XLOOKUP($C45,ALL!$C$2:$C$341,ALL!B$2:B$341),"")</f>
        <v/>
      </c>
      <c r="D45" s="69" t="str">
        <f>IF(_xlfn.XLOOKUP($C45,ALL!$C$2:$C$341,ALL!D$2:D$341)&lt;&gt;"",_xlfn.XLOOKUP($C45,ALL!$C$2:$C$341,ALL!D$2:D$341),"")</f>
        <v/>
      </c>
      <c r="E45" s="69" t="str">
        <f>IF(_xlfn.XLOOKUP($C45,ALL!$C$2:$C$341,ALL!F$2:F$341)&lt;&gt;"",_xlfn.XLOOKUP($C45,ALL!$C$2:$C$341,ALL!F$2:F$341),"")</f>
        <v/>
      </c>
      <c r="F45" s="69" t="str">
        <f>IF(_xlfn.XLOOKUP($C45,ALL!$C$2:$C$341,ALL!G$2:G$341)&lt;&gt;"",_xlfn.XLOOKUP($C45,ALL!$C$2:$C$341,ALL!G$2:G$341),"")</f>
        <v/>
      </c>
      <c r="G45" s="70" t="str">
        <f>IF(_xlfn.XLOOKUP($C45,ALL!$C$2:$C$341,ALL!H$2:H$341)&lt;&gt;"",_xlfn.XLOOKUP($C45,ALL!$C$2:$C$341,ALL!H$2:H$341),"")</f>
        <v/>
      </c>
      <c r="H45" s="69" t="str">
        <f>IF(_xlfn.XLOOKUP($C45,ALL!$C$2:$C$341,ALL!I$2:I$341)&lt;&gt;"",_xlfn.XLOOKUP($C45,ALL!$C$2:$C$341,ALL!I$2:I$341),"")</f>
        <v/>
      </c>
      <c r="I45" s="69" t="str">
        <f>IF(_xlfn.XLOOKUP($C45,ALL!$C$2:$C$341,ALL!J$2:J$341)&lt;&gt;"",_xlfn.XLOOKUP($C45,ALL!$C$2:$C$341,ALL!J$2:J$341),"")</f>
        <v/>
      </c>
      <c r="J45" s="70" t="str">
        <f>IF(_xlfn.XLOOKUP($C45,ALL!$C$2:$C$341,ALL!K$2:K$341)&lt;&gt;"",_xlfn.XLOOKUP($C45,ALL!$C$2:$C$341,ALL!K$2:K$341),"")</f>
        <v/>
      </c>
      <c r="K45" s="4" t="str">
        <f>IF(_xlfn.XLOOKUP($C45,ALL!$C$2:$C$341,ALL!L$2:L$341)&lt;&gt;"",_xlfn.XLOOKUP($C45,ALL!$C$2:$C$341,ALL!L$2:L$341),"")</f>
        <v/>
      </c>
      <c r="L45" s="4" t="str">
        <f>IF(_xlfn.XLOOKUP($C45,ALL!$C$2:$C$341,ALL!M$2:M$341)&lt;&gt;"",_xlfn.XLOOKUP($C45,ALL!$C$2:$C$341,ALL!M$2:M$341),"")</f>
        <v/>
      </c>
      <c r="M45" s="4" t="str">
        <f>IF(_xlfn.XLOOKUP($C45,ALL!$C$2:$C$341,ALL!N$2:N$341)&lt;&gt;"",_xlfn.XLOOKUP($C45,ALL!$C$2:$C$341,ALL!N$2:N$341),"")</f>
        <v/>
      </c>
    </row>
    <row r="46" spans="1:14" ht="19.2" customHeight="1" x14ac:dyDescent="0.3">
      <c r="A46" s="100" t="str">
        <f t="shared" si="0"/>
        <v/>
      </c>
      <c r="B46" s="94" t="str">
        <f>IF(_xlfn.XLOOKUP($C46,ALL!$C$2:$C$341,ALL!B$2:B$341)&lt;&gt;"",_xlfn.XLOOKUP($C46,ALL!$C$2:$C$341,ALL!B$2:B$341),"")</f>
        <v/>
      </c>
      <c r="D46" s="69" t="str">
        <f>IF(_xlfn.XLOOKUP($C46,ALL!$C$2:$C$341,ALL!D$2:D$341)&lt;&gt;"",_xlfn.XLOOKUP($C46,ALL!$C$2:$C$341,ALL!D$2:D$341),"")</f>
        <v/>
      </c>
      <c r="E46" s="69" t="str">
        <f>IF(_xlfn.XLOOKUP($C46,ALL!$C$2:$C$341,ALL!F$2:F$341)&lt;&gt;"",_xlfn.XLOOKUP($C46,ALL!$C$2:$C$341,ALL!F$2:F$341),"")</f>
        <v/>
      </c>
      <c r="F46" s="69" t="str">
        <f>IF(_xlfn.XLOOKUP($C46,ALL!$C$2:$C$341,ALL!G$2:G$341)&lt;&gt;"",_xlfn.XLOOKUP($C46,ALL!$C$2:$C$341,ALL!G$2:G$341),"")</f>
        <v/>
      </c>
      <c r="G46" s="70" t="str">
        <f>IF(_xlfn.XLOOKUP($C46,ALL!$C$2:$C$341,ALL!H$2:H$341)&lt;&gt;"",_xlfn.XLOOKUP($C46,ALL!$C$2:$C$341,ALL!H$2:H$341),"")</f>
        <v/>
      </c>
      <c r="H46" s="69" t="str">
        <f>IF(_xlfn.XLOOKUP($C46,ALL!$C$2:$C$341,ALL!I$2:I$341)&lt;&gt;"",_xlfn.XLOOKUP($C46,ALL!$C$2:$C$341,ALL!I$2:I$341),"")</f>
        <v/>
      </c>
      <c r="I46" s="69" t="str">
        <f>IF(_xlfn.XLOOKUP($C46,ALL!$C$2:$C$341,ALL!J$2:J$341)&lt;&gt;"",_xlfn.XLOOKUP($C46,ALL!$C$2:$C$341,ALL!J$2:J$341),"")</f>
        <v/>
      </c>
      <c r="J46" s="70" t="str">
        <f>IF(_xlfn.XLOOKUP($C46,ALL!$C$2:$C$341,ALL!K$2:K$341)&lt;&gt;"",_xlfn.XLOOKUP($C46,ALL!$C$2:$C$341,ALL!K$2:K$341),"")</f>
        <v/>
      </c>
      <c r="K46" s="4" t="str">
        <f>IF(_xlfn.XLOOKUP($C46,ALL!$C$2:$C$341,ALL!L$2:L$341)&lt;&gt;"",_xlfn.XLOOKUP($C46,ALL!$C$2:$C$341,ALL!L$2:L$341),"")</f>
        <v/>
      </c>
      <c r="L46" s="4" t="str">
        <f>IF(_xlfn.XLOOKUP($C46,ALL!$C$2:$C$341,ALL!M$2:M$341)&lt;&gt;"",_xlfn.XLOOKUP($C46,ALL!$C$2:$C$341,ALL!M$2:M$341),"")</f>
        <v/>
      </c>
      <c r="M46" s="4" t="str">
        <f>IF(_xlfn.XLOOKUP($C46,ALL!$C$2:$C$341,ALL!N$2:N$341)&lt;&gt;"",_xlfn.XLOOKUP($C46,ALL!$C$2:$C$341,ALL!N$2:N$341),"")</f>
        <v/>
      </c>
    </row>
    <row r="47" spans="1:14" ht="19.2" customHeight="1" x14ac:dyDescent="0.3">
      <c r="A47" s="100" t="str">
        <f t="shared" si="0"/>
        <v/>
      </c>
      <c r="B47" s="94" t="str">
        <f>IF(_xlfn.XLOOKUP($C47,ALL!$C$2:$C$341,ALL!B$2:B$341)&lt;&gt;"",_xlfn.XLOOKUP($C47,ALL!$C$2:$C$341,ALL!B$2:B$341),"")</f>
        <v/>
      </c>
      <c r="D47" s="69" t="str">
        <f>IF(_xlfn.XLOOKUP($C47,ALL!$C$2:$C$341,ALL!D$2:D$341)&lt;&gt;"",_xlfn.XLOOKUP($C47,ALL!$C$2:$C$341,ALL!D$2:D$341),"")</f>
        <v/>
      </c>
      <c r="E47" s="69" t="str">
        <f>IF(_xlfn.XLOOKUP($C47,ALL!$C$2:$C$341,ALL!F$2:F$341)&lt;&gt;"",_xlfn.XLOOKUP($C47,ALL!$C$2:$C$341,ALL!F$2:F$341),"")</f>
        <v/>
      </c>
      <c r="F47" s="69" t="str">
        <f>IF(_xlfn.XLOOKUP($C47,ALL!$C$2:$C$341,ALL!G$2:G$341)&lt;&gt;"",_xlfn.XLOOKUP($C47,ALL!$C$2:$C$341,ALL!G$2:G$341),"")</f>
        <v/>
      </c>
      <c r="G47" s="70" t="str">
        <f>IF(_xlfn.XLOOKUP($C47,ALL!$C$2:$C$341,ALL!H$2:H$341)&lt;&gt;"",_xlfn.XLOOKUP($C47,ALL!$C$2:$C$341,ALL!H$2:H$341),"")</f>
        <v/>
      </c>
      <c r="H47" s="69" t="str">
        <f>IF(_xlfn.XLOOKUP($C47,ALL!$C$2:$C$341,ALL!I$2:I$341)&lt;&gt;"",_xlfn.XLOOKUP($C47,ALL!$C$2:$C$341,ALL!I$2:I$341),"")</f>
        <v/>
      </c>
      <c r="I47" s="69" t="str">
        <f>IF(_xlfn.XLOOKUP($C47,ALL!$C$2:$C$341,ALL!J$2:J$341)&lt;&gt;"",_xlfn.XLOOKUP($C47,ALL!$C$2:$C$341,ALL!J$2:J$341),"")</f>
        <v/>
      </c>
      <c r="J47" s="70" t="str">
        <f>IF(_xlfn.XLOOKUP($C47,ALL!$C$2:$C$341,ALL!K$2:K$341)&lt;&gt;"",_xlfn.XLOOKUP($C47,ALL!$C$2:$C$341,ALL!K$2:K$341),"")</f>
        <v/>
      </c>
      <c r="K47" s="4" t="str">
        <f>IF(_xlfn.XLOOKUP($C47,ALL!$C$2:$C$341,ALL!L$2:L$341)&lt;&gt;"",_xlfn.XLOOKUP($C47,ALL!$C$2:$C$341,ALL!L$2:L$341),"")</f>
        <v/>
      </c>
      <c r="L47" s="4" t="str">
        <f>IF(_xlfn.XLOOKUP($C47,ALL!$C$2:$C$341,ALL!M$2:M$341)&lt;&gt;"",_xlfn.XLOOKUP($C47,ALL!$C$2:$C$341,ALL!M$2:M$341),"")</f>
        <v/>
      </c>
      <c r="M47" s="4" t="str">
        <f>IF(_xlfn.XLOOKUP($C47,ALL!$C$2:$C$341,ALL!N$2:N$341)&lt;&gt;"",_xlfn.XLOOKUP($C47,ALL!$C$2:$C$341,ALL!N$2:N$341),"")</f>
        <v/>
      </c>
    </row>
    <row r="48" spans="1:14" ht="19.2" customHeight="1" x14ac:dyDescent="0.3">
      <c r="A48" s="100" t="str">
        <f t="shared" si="0"/>
        <v/>
      </c>
      <c r="B48" s="94" t="str">
        <f>IF(_xlfn.XLOOKUP($C48,ALL!$C$2:$C$341,ALL!B$2:B$341)&lt;&gt;"",_xlfn.XLOOKUP($C48,ALL!$C$2:$C$341,ALL!B$2:B$341),"")</f>
        <v/>
      </c>
      <c r="D48" s="69" t="str">
        <f>IF(_xlfn.XLOOKUP($C48,ALL!$C$2:$C$341,ALL!D$2:D$341)&lt;&gt;"",_xlfn.XLOOKUP($C48,ALL!$C$2:$C$341,ALL!D$2:D$341),"")</f>
        <v/>
      </c>
      <c r="E48" s="69" t="str">
        <f>IF(_xlfn.XLOOKUP($C48,ALL!$C$2:$C$341,ALL!F$2:F$341)&lt;&gt;"",_xlfn.XLOOKUP($C48,ALL!$C$2:$C$341,ALL!F$2:F$341),"")</f>
        <v/>
      </c>
      <c r="F48" s="69" t="str">
        <f>IF(_xlfn.XLOOKUP($C48,ALL!$C$2:$C$341,ALL!G$2:G$341)&lt;&gt;"",_xlfn.XLOOKUP($C48,ALL!$C$2:$C$341,ALL!G$2:G$341),"")</f>
        <v/>
      </c>
      <c r="G48" s="70" t="str">
        <f>IF(_xlfn.XLOOKUP($C48,ALL!$C$2:$C$341,ALL!H$2:H$341)&lt;&gt;"",_xlfn.XLOOKUP($C48,ALL!$C$2:$C$341,ALL!H$2:H$341),"")</f>
        <v/>
      </c>
      <c r="H48" s="69" t="str">
        <f>IF(_xlfn.XLOOKUP($C48,ALL!$C$2:$C$341,ALL!I$2:I$341)&lt;&gt;"",_xlfn.XLOOKUP($C48,ALL!$C$2:$C$341,ALL!I$2:I$341),"")</f>
        <v/>
      </c>
      <c r="I48" s="69" t="str">
        <f>IF(_xlfn.XLOOKUP($C48,ALL!$C$2:$C$341,ALL!J$2:J$341)&lt;&gt;"",_xlfn.XLOOKUP($C48,ALL!$C$2:$C$341,ALL!J$2:J$341),"")</f>
        <v/>
      </c>
      <c r="J48" s="70" t="str">
        <f>IF(_xlfn.XLOOKUP($C48,ALL!$C$2:$C$341,ALL!K$2:K$341)&lt;&gt;"",_xlfn.XLOOKUP($C48,ALL!$C$2:$C$341,ALL!K$2:K$341),"")</f>
        <v/>
      </c>
      <c r="K48" s="4" t="str">
        <f>IF(_xlfn.XLOOKUP($C48,ALL!$C$2:$C$341,ALL!L$2:L$341)&lt;&gt;"",_xlfn.XLOOKUP($C48,ALL!$C$2:$C$341,ALL!L$2:L$341),"")</f>
        <v/>
      </c>
      <c r="L48" s="4" t="str">
        <f>IF(_xlfn.XLOOKUP($C48,ALL!$C$2:$C$341,ALL!M$2:M$341)&lt;&gt;"",_xlfn.XLOOKUP($C48,ALL!$C$2:$C$341,ALL!M$2:M$341),"")</f>
        <v/>
      </c>
      <c r="M48" s="4" t="str">
        <f>IF(_xlfn.XLOOKUP($C48,ALL!$C$2:$C$341,ALL!N$2:N$341)&lt;&gt;"",_xlfn.XLOOKUP($C48,ALL!$C$2:$C$341,ALL!N$2:N$341),"")</f>
        <v/>
      </c>
    </row>
    <row r="49" spans="1:13" ht="19.2" customHeight="1" x14ac:dyDescent="0.3">
      <c r="A49" s="100" t="str">
        <f t="shared" si="0"/>
        <v/>
      </c>
      <c r="B49" s="94" t="str">
        <f>IF(_xlfn.XLOOKUP($C49,ALL!$C$2:$C$341,ALL!B$2:B$341)&lt;&gt;"",_xlfn.XLOOKUP($C49,ALL!$C$2:$C$341,ALL!B$2:B$341),"")</f>
        <v/>
      </c>
      <c r="D49" s="69" t="str">
        <f>IF(_xlfn.XLOOKUP($C49,ALL!$C$2:$C$341,ALL!D$2:D$341)&lt;&gt;"",_xlfn.XLOOKUP($C49,ALL!$C$2:$C$341,ALL!D$2:D$341),"")</f>
        <v/>
      </c>
      <c r="E49" s="69" t="str">
        <f>IF(_xlfn.XLOOKUP($C49,ALL!$C$2:$C$341,ALL!F$2:F$341)&lt;&gt;"",_xlfn.XLOOKUP($C49,ALL!$C$2:$C$341,ALL!F$2:F$341),"")</f>
        <v/>
      </c>
      <c r="F49" s="69" t="str">
        <f>IF(_xlfn.XLOOKUP($C49,ALL!$C$2:$C$341,ALL!G$2:G$341)&lt;&gt;"",_xlfn.XLOOKUP($C49,ALL!$C$2:$C$341,ALL!G$2:G$341),"")</f>
        <v/>
      </c>
      <c r="G49" s="70" t="str">
        <f>IF(_xlfn.XLOOKUP($C49,ALL!$C$2:$C$341,ALL!H$2:H$341)&lt;&gt;"",_xlfn.XLOOKUP($C49,ALL!$C$2:$C$341,ALL!H$2:H$341),"")</f>
        <v/>
      </c>
      <c r="H49" s="69" t="str">
        <f>IF(_xlfn.XLOOKUP($C49,ALL!$C$2:$C$341,ALL!I$2:I$341)&lt;&gt;"",_xlfn.XLOOKUP($C49,ALL!$C$2:$C$341,ALL!I$2:I$341),"")</f>
        <v/>
      </c>
      <c r="I49" s="69" t="str">
        <f>IF(_xlfn.XLOOKUP($C49,ALL!$C$2:$C$341,ALL!J$2:J$341)&lt;&gt;"",_xlfn.XLOOKUP($C49,ALL!$C$2:$C$341,ALL!J$2:J$341),"")</f>
        <v/>
      </c>
      <c r="J49" s="70" t="str">
        <f>IF(_xlfn.XLOOKUP($C49,ALL!$C$2:$C$341,ALL!K$2:K$341)&lt;&gt;"",_xlfn.XLOOKUP($C49,ALL!$C$2:$C$341,ALL!K$2:K$341),"")</f>
        <v/>
      </c>
      <c r="K49" s="4" t="str">
        <f>IF(_xlfn.XLOOKUP($C49,ALL!$C$2:$C$341,ALL!L$2:L$341)&lt;&gt;"",_xlfn.XLOOKUP($C49,ALL!$C$2:$C$341,ALL!L$2:L$341),"")</f>
        <v/>
      </c>
      <c r="L49" s="4" t="str">
        <f>IF(_xlfn.XLOOKUP($C49,ALL!$C$2:$C$341,ALL!M$2:M$341)&lt;&gt;"",_xlfn.XLOOKUP($C49,ALL!$C$2:$C$341,ALL!M$2:M$341),"")</f>
        <v/>
      </c>
      <c r="M49" s="4" t="str">
        <f>IF(_xlfn.XLOOKUP($C49,ALL!$C$2:$C$341,ALL!N$2:N$341)&lt;&gt;"",_xlfn.XLOOKUP($C49,ALL!$C$2:$C$341,ALL!N$2:N$341),"")</f>
        <v/>
      </c>
    </row>
    <row r="50" spans="1:13" ht="19.2" customHeight="1" x14ac:dyDescent="0.3">
      <c r="A50" s="100" t="str">
        <f t="shared" si="0"/>
        <v/>
      </c>
      <c r="B50" s="94" t="str">
        <f>IF(_xlfn.XLOOKUP($C50,ALL!$C$2:$C$341,ALL!B$2:B$341)&lt;&gt;"",_xlfn.XLOOKUP($C50,ALL!$C$2:$C$341,ALL!B$2:B$341),"")</f>
        <v/>
      </c>
      <c r="D50" s="69" t="str">
        <f>IF(_xlfn.XLOOKUP($C50,ALL!$C$2:$C$341,ALL!D$2:D$341)&lt;&gt;"",_xlfn.XLOOKUP($C50,ALL!$C$2:$C$341,ALL!D$2:D$341),"")</f>
        <v/>
      </c>
      <c r="E50" s="69" t="str">
        <f>IF(_xlfn.XLOOKUP($C50,ALL!$C$2:$C$341,ALL!F$2:F$341)&lt;&gt;"",_xlfn.XLOOKUP($C50,ALL!$C$2:$C$341,ALL!F$2:F$341),"")</f>
        <v/>
      </c>
      <c r="F50" s="69" t="str">
        <f>IF(_xlfn.XLOOKUP($C50,ALL!$C$2:$C$341,ALL!G$2:G$341)&lt;&gt;"",_xlfn.XLOOKUP($C50,ALL!$C$2:$C$341,ALL!G$2:G$341),"")</f>
        <v/>
      </c>
      <c r="G50" s="70" t="str">
        <f>IF(_xlfn.XLOOKUP($C50,ALL!$C$2:$C$341,ALL!H$2:H$341)&lt;&gt;"",_xlfn.XLOOKUP($C50,ALL!$C$2:$C$341,ALL!H$2:H$341),"")</f>
        <v/>
      </c>
      <c r="H50" s="69" t="str">
        <f>IF(_xlfn.XLOOKUP($C50,ALL!$C$2:$C$341,ALL!I$2:I$341)&lt;&gt;"",_xlfn.XLOOKUP($C50,ALL!$C$2:$C$341,ALL!I$2:I$341),"")</f>
        <v/>
      </c>
      <c r="I50" s="69" t="str">
        <f>IF(_xlfn.XLOOKUP($C50,ALL!$C$2:$C$341,ALL!J$2:J$341)&lt;&gt;"",_xlfn.XLOOKUP($C50,ALL!$C$2:$C$341,ALL!J$2:J$341),"")</f>
        <v/>
      </c>
      <c r="J50" s="70" t="str">
        <f>IF(_xlfn.XLOOKUP($C50,ALL!$C$2:$C$341,ALL!K$2:K$341)&lt;&gt;"",_xlfn.XLOOKUP($C50,ALL!$C$2:$C$341,ALL!K$2:K$341),"")</f>
        <v/>
      </c>
      <c r="K50" s="4" t="str">
        <f>IF(_xlfn.XLOOKUP($C50,ALL!$C$2:$C$341,ALL!L$2:L$341)&lt;&gt;"",_xlfn.XLOOKUP($C50,ALL!$C$2:$C$341,ALL!L$2:L$341),"")</f>
        <v/>
      </c>
      <c r="L50" s="4" t="str">
        <f>IF(_xlfn.XLOOKUP($C50,ALL!$C$2:$C$341,ALL!M$2:M$341)&lt;&gt;"",_xlfn.XLOOKUP($C50,ALL!$C$2:$C$341,ALL!M$2:M$341),"")</f>
        <v/>
      </c>
      <c r="M50" s="4" t="str">
        <f>IF(_xlfn.XLOOKUP($C50,ALL!$C$2:$C$341,ALL!N$2:N$341)&lt;&gt;"",_xlfn.XLOOKUP($C50,ALL!$C$2:$C$341,ALL!N$2:N$341),"")</f>
        <v/>
      </c>
    </row>
    <row r="51" spans="1:13" ht="19.2" customHeight="1" x14ac:dyDescent="0.3">
      <c r="A51" s="100" t="str">
        <f t="shared" si="0"/>
        <v/>
      </c>
      <c r="B51" s="94" t="str">
        <f>IF(_xlfn.XLOOKUP($C51,ALL!$C$2:$C$341,ALL!B$2:B$341)&lt;&gt;"",_xlfn.XLOOKUP($C51,ALL!$C$2:$C$341,ALL!B$2:B$341),"")</f>
        <v/>
      </c>
      <c r="D51" s="69" t="str">
        <f>IF(_xlfn.XLOOKUP($C51,ALL!$C$2:$C$341,ALL!D$2:D$341)&lt;&gt;"",_xlfn.XLOOKUP($C51,ALL!$C$2:$C$341,ALL!D$2:D$341),"")</f>
        <v/>
      </c>
      <c r="E51" s="69" t="str">
        <f>IF(_xlfn.XLOOKUP($C51,ALL!$C$2:$C$341,ALL!F$2:F$341)&lt;&gt;"",_xlfn.XLOOKUP($C51,ALL!$C$2:$C$341,ALL!F$2:F$341),"")</f>
        <v/>
      </c>
      <c r="F51" s="69" t="str">
        <f>IF(_xlfn.XLOOKUP($C51,ALL!$C$2:$C$341,ALL!G$2:G$341)&lt;&gt;"",_xlfn.XLOOKUP($C51,ALL!$C$2:$C$341,ALL!G$2:G$341),"")</f>
        <v/>
      </c>
      <c r="G51" s="70" t="str">
        <f>IF(_xlfn.XLOOKUP($C51,ALL!$C$2:$C$341,ALL!H$2:H$341)&lt;&gt;"",_xlfn.XLOOKUP($C51,ALL!$C$2:$C$341,ALL!H$2:H$341),"")</f>
        <v/>
      </c>
      <c r="H51" s="69" t="str">
        <f>IF(_xlfn.XLOOKUP($C51,ALL!$C$2:$C$341,ALL!I$2:I$341)&lt;&gt;"",_xlfn.XLOOKUP($C51,ALL!$C$2:$C$341,ALL!I$2:I$341),"")</f>
        <v/>
      </c>
      <c r="I51" s="69" t="str">
        <f>IF(_xlfn.XLOOKUP($C51,ALL!$C$2:$C$341,ALL!J$2:J$341)&lt;&gt;"",_xlfn.XLOOKUP($C51,ALL!$C$2:$C$341,ALL!J$2:J$341),"")</f>
        <v/>
      </c>
      <c r="J51" s="70" t="str">
        <f>IF(_xlfn.XLOOKUP($C51,ALL!$C$2:$C$341,ALL!K$2:K$341)&lt;&gt;"",_xlfn.XLOOKUP($C51,ALL!$C$2:$C$341,ALL!K$2:K$341),"")</f>
        <v/>
      </c>
      <c r="K51" s="4" t="str">
        <f>IF(_xlfn.XLOOKUP($C51,ALL!$C$2:$C$341,ALL!L$2:L$341)&lt;&gt;"",_xlfn.XLOOKUP($C51,ALL!$C$2:$C$341,ALL!L$2:L$341),"")</f>
        <v/>
      </c>
      <c r="L51" s="4" t="str">
        <f>IF(_xlfn.XLOOKUP($C51,ALL!$C$2:$C$341,ALL!M$2:M$341)&lt;&gt;"",_xlfn.XLOOKUP($C51,ALL!$C$2:$C$341,ALL!M$2:M$341),"")</f>
        <v/>
      </c>
      <c r="M51" s="4" t="str">
        <f>IF(_xlfn.XLOOKUP($C51,ALL!$C$2:$C$341,ALL!N$2:N$341)&lt;&gt;"",_xlfn.XLOOKUP($C51,ALL!$C$2:$C$341,ALL!N$2:N$341),"")</f>
        <v/>
      </c>
    </row>
    <row r="52" spans="1:13" ht="19.2" customHeight="1" x14ac:dyDescent="0.3">
      <c r="A52" s="100" t="str">
        <f t="shared" si="0"/>
        <v/>
      </c>
      <c r="B52" s="94" t="str">
        <f>IF(_xlfn.XLOOKUP($C52,ALL!$C$2:$C$341,ALL!B$2:B$341)&lt;&gt;"",_xlfn.XLOOKUP($C52,ALL!$C$2:$C$341,ALL!B$2:B$341),"")</f>
        <v/>
      </c>
      <c r="D52" s="69" t="str">
        <f>IF(_xlfn.XLOOKUP($C52,ALL!$C$2:$C$341,ALL!D$2:D$341)&lt;&gt;"",_xlfn.XLOOKUP($C52,ALL!$C$2:$C$341,ALL!D$2:D$341),"")</f>
        <v/>
      </c>
      <c r="E52" s="69" t="str">
        <f>IF(_xlfn.XLOOKUP($C52,ALL!$C$2:$C$341,ALL!F$2:F$341)&lt;&gt;"",_xlfn.XLOOKUP($C52,ALL!$C$2:$C$341,ALL!F$2:F$341),"")</f>
        <v/>
      </c>
      <c r="F52" s="69" t="str">
        <f>IF(_xlfn.XLOOKUP($C52,ALL!$C$2:$C$341,ALL!G$2:G$341)&lt;&gt;"",_xlfn.XLOOKUP($C52,ALL!$C$2:$C$341,ALL!G$2:G$341),"")</f>
        <v/>
      </c>
      <c r="G52" s="70" t="str">
        <f>IF(_xlfn.XLOOKUP($C52,ALL!$C$2:$C$341,ALL!H$2:H$341)&lt;&gt;"",_xlfn.XLOOKUP($C52,ALL!$C$2:$C$341,ALL!H$2:H$341),"")</f>
        <v/>
      </c>
      <c r="H52" s="69" t="str">
        <f>IF(_xlfn.XLOOKUP($C52,ALL!$C$2:$C$341,ALL!I$2:I$341)&lt;&gt;"",_xlfn.XLOOKUP($C52,ALL!$C$2:$C$341,ALL!I$2:I$341),"")</f>
        <v/>
      </c>
      <c r="I52" s="69" t="str">
        <f>IF(_xlfn.XLOOKUP($C52,ALL!$C$2:$C$341,ALL!J$2:J$341)&lt;&gt;"",_xlfn.XLOOKUP($C52,ALL!$C$2:$C$341,ALL!J$2:J$341),"")</f>
        <v/>
      </c>
      <c r="J52" s="70" t="str">
        <f>IF(_xlfn.XLOOKUP($C52,ALL!$C$2:$C$341,ALL!K$2:K$341)&lt;&gt;"",_xlfn.XLOOKUP($C52,ALL!$C$2:$C$341,ALL!K$2:K$341),"")</f>
        <v/>
      </c>
      <c r="K52" s="4" t="str">
        <f>IF(_xlfn.XLOOKUP($C52,ALL!$C$2:$C$341,ALL!L$2:L$341)&lt;&gt;"",_xlfn.XLOOKUP($C52,ALL!$C$2:$C$341,ALL!L$2:L$341),"")</f>
        <v/>
      </c>
      <c r="L52" s="4" t="str">
        <f>IF(_xlfn.XLOOKUP($C52,ALL!$C$2:$C$341,ALL!M$2:M$341)&lt;&gt;"",_xlfn.XLOOKUP($C52,ALL!$C$2:$C$341,ALL!M$2:M$341),"")</f>
        <v/>
      </c>
      <c r="M52" s="4" t="str">
        <f>IF(_xlfn.XLOOKUP($C52,ALL!$C$2:$C$341,ALL!N$2:N$341)&lt;&gt;"",_xlfn.XLOOKUP($C52,ALL!$C$2:$C$341,ALL!N$2:N$341),"")</f>
        <v/>
      </c>
    </row>
    <row r="53" spans="1:13" ht="19.2" customHeight="1" x14ac:dyDescent="0.3">
      <c r="A53" s="100" t="str">
        <f t="shared" si="0"/>
        <v/>
      </c>
      <c r="B53" s="94" t="str">
        <f>IF(_xlfn.XLOOKUP($C53,ALL!$C$2:$C$341,ALL!B$2:B$341)&lt;&gt;"",_xlfn.XLOOKUP($C53,ALL!$C$2:$C$341,ALL!B$2:B$341),"")</f>
        <v/>
      </c>
      <c r="D53" s="69" t="str">
        <f>IF(_xlfn.XLOOKUP($C53,ALL!$C$2:$C$341,ALL!D$2:D$341)&lt;&gt;"",_xlfn.XLOOKUP($C53,ALL!$C$2:$C$341,ALL!D$2:D$341),"")</f>
        <v/>
      </c>
      <c r="E53" s="69" t="str">
        <f>IF(_xlfn.XLOOKUP($C53,ALL!$C$2:$C$341,ALL!F$2:F$341)&lt;&gt;"",_xlfn.XLOOKUP($C53,ALL!$C$2:$C$341,ALL!F$2:F$341),"")</f>
        <v/>
      </c>
      <c r="F53" s="69" t="str">
        <f>IF(_xlfn.XLOOKUP($C53,ALL!$C$2:$C$341,ALL!G$2:G$341)&lt;&gt;"",_xlfn.XLOOKUP($C53,ALL!$C$2:$C$341,ALL!G$2:G$341),"")</f>
        <v/>
      </c>
      <c r="G53" s="70" t="str">
        <f>IF(_xlfn.XLOOKUP($C53,ALL!$C$2:$C$341,ALL!H$2:H$341)&lt;&gt;"",_xlfn.XLOOKUP($C53,ALL!$C$2:$C$341,ALL!H$2:H$341),"")</f>
        <v/>
      </c>
      <c r="H53" s="69" t="str">
        <f>IF(_xlfn.XLOOKUP($C53,ALL!$C$2:$C$341,ALL!I$2:I$341)&lt;&gt;"",_xlfn.XLOOKUP($C53,ALL!$C$2:$C$341,ALL!I$2:I$341),"")</f>
        <v/>
      </c>
      <c r="I53" s="69" t="str">
        <f>IF(_xlfn.XLOOKUP($C53,ALL!$C$2:$C$341,ALL!J$2:J$341)&lt;&gt;"",_xlfn.XLOOKUP($C53,ALL!$C$2:$C$341,ALL!J$2:J$341),"")</f>
        <v/>
      </c>
      <c r="J53" s="70" t="str">
        <f>IF(_xlfn.XLOOKUP($C53,ALL!$C$2:$C$341,ALL!K$2:K$341)&lt;&gt;"",_xlfn.XLOOKUP($C53,ALL!$C$2:$C$341,ALL!K$2:K$341),"")</f>
        <v/>
      </c>
      <c r="K53" s="4" t="str">
        <f>IF(_xlfn.XLOOKUP($C53,ALL!$C$2:$C$341,ALL!L$2:L$341)&lt;&gt;"",_xlfn.XLOOKUP($C53,ALL!$C$2:$C$341,ALL!L$2:L$341),"")</f>
        <v/>
      </c>
      <c r="L53" s="4" t="str">
        <f>IF(_xlfn.XLOOKUP($C53,ALL!$C$2:$C$341,ALL!M$2:M$341)&lt;&gt;"",_xlfn.XLOOKUP($C53,ALL!$C$2:$C$341,ALL!M$2:M$341),"")</f>
        <v/>
      </c>
      <c r="M53" s="4" t="str">
        <f>IF(_xlfn.XLOOKUP($C53,ALL!$C$2:$C$341,ALL!N$2:N$341)&lt;&gt;"",_xlfn.XLOOKUP($C53,ALL!$C$2:$C$341,ALL!N$2:N$341),"")</f>
        <v/>
      </c>
    </row>
    <row r="54" spans="1:13" ht="19.2" customHeight="1" x14ac:dyDescent="0.3">
      <c r="A54" s="100" t="str">
        <f t="shared" si="0"/>
        <v/>
      </c>
      <c r="B54" s="94" t="str">
        <f>IF(_xlfn.XLOOKUP($C54,ALL!$C$2:$C$341,ALL!B$2:B$341)&lt;&gt;"",_xlfn.XLOOKUP($C54,ALL!$C$2:$C$341,ALL!B$2:B$341),"")</f>
        <v/>
      </c>
      <c r="D54" s="69" t="str">
        <f>IF(_xlfn.XLOOKUP($C54,ALL!$C$2:$C$341,ALL!D$2:D$341)&lt;&gt;"",_xlfn.XLOOKUP($C54,ALL!$C$2:$C$341,ALL!D$2:D$341),"")</f>
        <v/>
      </c>
      <c r="E54" s="69" t="str">
        <f>IF(_xlfn.XLOOKUP($C54,ALL!$C$2:$C$341,ALL!F$2:F$341)&lt;&gt;"",_xlfn.XLOOKUP($C54,ALL!$C$2:$C$341,ALL!F$2:F$341),"")</f>
        <v/>
      </c>
      <c r="F54" s="69" t="str">
        <f>IF(_xlfn.XLOOKUP($C54,ALL!$C$2:$C$341,ALL!G$2:G$341)&lt;&gt;"",_xlfn.XLOOKUP($C54,ALL!$C$2:$C$341,ALL!G$2:G$341),"")</f>
        <v/>
      </c>
      <c r="G54" s="70" t="str">
        <f>IF(_xlfn.XLOOKUP($C54,ALL!$C$2:$C$341,ALL!H$2:H$341)&lt;&gt;"",_xlfn.XLOOKUP($C54,ALL!$C$2:$C$341,ALL!H$2:H$341),"")</f>
        <v/>
      </c>
      <c r="H54" s="69" t="str">
        <f>IF(_xlfn.XLOOKUP($C54,ALL!$C$2:$C$341,ALL!I$2:I$341)&lt;&gt;"",_xlfn.XLOOKUP($C54,ALL!$C$2:$C$341,ALL!I$2:I$341),"")</f>
        <v/>
      </c>
      <c r="I54" s="69" t="str">
        <f>IF(_xlfn.XLOOKUP($C54,ALL!$C$2:$C$341,ALL!J$2:J$341)&lt;&gt;"",_xlfn.XLOOKUP($C54,ALL!$C$2:$C$341,ALL!J$2:J$341),"")</f>
        <v/>
      </c>
      <c r="J54" s="70" t="str">
        <f>IF(_xlfn.XLOOKUP($C54,ALL!$C$2:$C$341,ALL!K$2:K$341)&lt;&gt;"",_xlfn.XLOOKUP($C54,ALL!$C$2:$C$341,ALL!K$2:K$341),"")</f>
        <v/>
      </c>
      <c r="K54" s="4" t="str">
        <f>IF(_xlfn.XLOOKUP($C54,ALL!$C$2:$C$341,ALL!L$2:L$341)&lt;&gt;"",_xlfn.XLOOKUP($C54,ALL!$C$2:$C$341,ALL!L$2:L$341),"")</f>
        <v/>
      </c>
      <c r="L54" s="4" t="str">
        <f>IF(_xlfn.XLOOKUP($C54,ALL!$C$2:$C$341,ALL!M$2:M$341)&lt;&gt;"",_xlfn.XLOOKUP($C54,ALL!$C$2:$C$341,ALL!M$2:M$341),"")</f>
        <v/>
      </c>
      <c r="M54" s="4" t="str">
        <f>IF(_xlfn.XLOOKUP($C54,ALL!$C$2:$C$341,ALL!N$2:N$341)&lt;&gt;"",_xlfn.XLOOKUP($C54,ALL!$C$2:$C$341,ALL!N$2:N$341),"")</f>
        <v/>
      </c>
    </row>
    <row r="55" spans="1:13" ht="19.2" customHeight="1" x14ac:dyDescent="0.3">
      <c r="A55" s="100" t="str">
        <f t="shared" si="0"/>
        <v/>
      </c>
      <c r="B55" s="94" t="str">
        <f>IF(_xlfn.XLOOKUP($C55,ALL!$C$2:$C$341,ALL!B$2:B$341)&lt;&gt;"",_xlfn.XLOOKUP($C55,ALL!$C$2:$C$341,ALL!B$2:B$341),"")</f>
        <v/>
      </c>
      <c r="D55" s="69" t="str">
        <f>IF(_xlfn.XLOOKUP($C55,ALL!$C$2:$C$341,ALL!D$2:D$341)&lt;&gt;"",_xlfn.XLOOKUP($C55,ALL!$C$2:$C$341,ALL!D$2:D$341),"")</f>
        <v/>
      </c>
      <c r="E55" s="69" t="str">
        <f>IF(_xlfn.XLOOKUP($C55,ALL!$C$2:$C$341,ALL!F$2:F$341)&lt;&gt;"",_xlfn.XLOOKUP($C55,ALL!$C$2:$C$341,ALL!F$2:F$341),"")</f>
        <v/>
      </c>
      <c r="F55" s="69" t="str">
        <f>IF(_xlfn.XLOOKUP($C55,ALL!$C$2:$C$341,ALL!G$2:G$341)&lt;&gt;"",_xlfn.XLOOKUP($C55,ALL!$C$2:$C$341,ALL!G$2:G$341),"")</f>
        <v/>
      </c>
      <c r="G55" s="70" t="str">
        <f>IF(_xlfn.XLOOKUP($C55,ALL!$C$2:$C$341,ALL!H$2:H$341)&lt;&gt;"",_xlfn.XLOOKUP($C55,ALL!$C$2:$C$341,ALL!H$2:H$341),"")</f>
        <v/>
      </c>
      <c r="H55" s="69" t="str">
        <f>IF(_xlfn.XLOOKUP($C55,ALL!$C$2:$C$341,ALL!I$2:I$341)&lt;&gt;"",_xlfn.XLOOKUP($C55,ALL!$C$2:$C$341,ALL!I$2:I$341),"")</f>
        <v/>
      </c>
      <c r="I55" s="69" t="str">
        <f>IF(_xlfn.XLOOKUP($C55,ALL!$C$2:$C$341,ALL!J$2:J$341)&lt;&gt;"",_xlfn.XLOOKUP($C55,ALL!$C$2:$C$341,ALL!J$2:J$341),"")</f>
        <v/>
      </c>
      <c r="J55" s="70" t="str">
        <f>IF(_xlfn.XLOOKUP($C55,ALL!$C$2:$C$341,ALL!K$2:K$341)&lt;&gt;"",_xlfn.XLOOKUP($C55,ALL!$C$2:$C$341,ALL!K$2:K$341),"")</f>
        <v/>
      </c>
      <c r="K55" s="4" t="str">
        <f>IF(_xlfn.XLOOKUP($C55,ALL!$C$2:$C$341,ALL!L$2:L$341)&lt;&gt;"",_xlfn.XLOOKUP($C55,ALL!$C$2:$C$341,ALL!L$2:L$341),"")</f>
        <v/>
      </c>
      <c r="L55" s="4" t="str">
        <f>IF(_xlfn.XLOOKUP($C55,ALL!$C$2:$C$341,ALL!M$2:M$341)&lt;&gt;"",_xlfn.XLOOKUP($C55,ALL!$C$2:$C$341,ALL!M$2:M$341),"")</f>
        <v/>
      </c>
      <c r="M55" s="4" t="str">
        <f>IF(_xlfn.XLOOKUP($C55,ALL!$C$2:$C$341,ALL!N$2:N$341)&lt;&gt;"",_xlfn.XLOOKUP($C55,ALL!$C$2:$C$341,ALL!N$2:N$341),"")</f>
        <v/>
      </c>
    </row>
    <row r="56" spans="1:13" ht="19.2" customHeight="1" x14ac:dyDescent="0.3">
      <c r="A56" s="100" t="str">
        <f t="shared" si="0"/>
        <v/>
      </c>
      <c r="B56" s="94" t="str">
        <f>IF(_xlfn.XLOOKUP($C56,ALL!$C$2:$C$341,ALL!B$2:B$341)&lt;&gt;"",_xlfn.XLOOKUP($C56,ALL!$C$2:$C$341,ALL!B$2:B$341),"")</f>
        <v/>
      </c>
      <c r="D56" s="69" t="str">
        <f>IF(_xlfn.XLOOKUP($C56,ALL!$C$2:$C$341,ALL!D$2:D$341)&lt;&gt;"",_xlfn.XLOOKUP($C56,ALL!$C$2:$C$341,ALL!D$2:D$341),"")</f>
        <v/>
      </c>
      <c r="E56" s="69" t="str">
        <f>IF(_xlfn.XLOOKUP($C56,ALL!$C$2:$C$341,ALL!F$2:F$341)&lt;&gt;"",_xlfn.XLOOKUP($C56,ALL!$C$2:$C$341,ALL!F$2:F$341),"")</f>
        <v/>
      </c>
      <c r="F56" s="69" t="str">
        <f>IF(_xlfn.XLOOKUP($C56,ALL!$C$2:$C$341,ALL!G$2:G$341)&lt;&gt;"",_xlfn.XLOOKUP($C56,ALL!$C$2:$C$341,ALL!G$2:G$341),"")</f>
        <v/>
      </c>
      <c r="G56" s="70" t="str">
        <f>IF(_xlfn.XLOOKUP($C56,ALL!$C$2:$C$341,ALL!H$2:H$341)&lt;&gt;"",_xlfn.XLOOKUP($C56,ALL!$C$2:$C$341,ALL!H$2:H$341),"")</f>
        <v/>
      </c>
      <c r="H56" s="69" t="str">
        <f>IF(_xlfn.XLOOKUP($C56,ALL!$C$2:$C$341,ALL!I$2:I$341)&lt;&gt;"",_xlfn.XLOOKUP($C56,ALL!$C$2:$C$341,ALL!I$2:I$341),"")</f>
        <v/>
      </c>
      <c r="I56" s="69" t="str">
        <f>IF(_xlfn.XLOOKUP($C56,ALL!$C$2:$C$341,ALL!J$2:J$341)&lt;&gt;"",_xlfn.XLOOKUP($C56,ALL!$C$2:$C$341,ALL!J$2:J$341),"")</f>
        <v/>
      </c>
      <c r="J56" s="70" t="str">
        <f>IF(_xlfn.XLOOKUP($C56,ALL!$C$2:$C$341,ALL!K$2:K$341)&lt;&gt;"",_xlfn.XLOOKUP($C56,ALL!$C$2:$C$341,ALL!K$2:K$341),"")</f>
        <v/>
      </c>
      <c r="K56" s="4" t="str">
        <f>IF(_xlfn.XLOOKUP($C56,ALL!$C$2:$C$341,ALL!L$2:L$341)&lt;&gt;"",_xlfn.XLOOKUP($C56,ALL!$C$2:$C$341,ALL!L$2:L$341),"")</f>
        <v/>
      </c>
      <c r="L56" s="4" t="str">
        <f>IF(_xlfn.XLOOKUP($C56,ALL!$C$2:$C$341,ALL!M$2:M$341)&lt;&gt;"",_xlfn.XLOOKUP($C56,ALL!$C$2:$C$341,ALL!M$2:M$341),"")</f>
        <v/>
      </c>
      <c r="M56" s="4" t="str">
        <f>IF(_xlfn.XLOOKUP($C56,ALL!$C$2:$C$341,ALL!N$2:N$341)&lt;&gt;"",_xlfn.XLOOKUP($C56,ALL!$C$2:$C$341,ALL!N$2:N$341),"")</f>
        <v/>
      </c>
    </row>
    <row r="57" spans="1:13" ht="19.2" customHeight="1" x14ac:dyDescent="0.3">
      <c r="A57" s="100" t="str">
        <f t="shared" si="0"/>
        <v/>
      </c>
      <c r="B57" s="94" t="str">
        <f>IF(_xlfn.XLOOKUP($C57,ALL!$C$2:$C$341,ALL!B$2:B$341)&lt;&gt;"",_xlfn.XLOOKUP($C57,ALL!$C$2:$C$341,ALL!B$2:B$341),"")</f>
        <v/>
      </c>
      <c r="D57" s="69" t="str">
        <f>IF(_xlfn.XLOOKUP($C57,ALL!$C$2:$C$341,ALL!D$2:D$341)&lt;&gt;"",_xlfn.XLOOKUP($C57,ALL!$C$2:$C$341,ALL!D$2:D$341),"")</f>
        <v/>
      </c>
      <c r="E57" s="69" t="str">
        <f>IF(_xlfn.XLOOKUP($C57,ALL!$C$2:$C$341,ALL!F$2:F$341)&lt;&gt;"",_xlfn.XLOOKUP($C57,ALL!$C$2:$C$341,ALL!F$2:F$341),"")</f>
        <v/>
      </c>
      <c r="F57" s="69" t="str">
        <f>IF(_xlfn.XLOOKUP($C57,ALL!$C$2:$C$341,ALL!G$2:G$341)&lt;&gt;"",_xlfn.XLOOKUP($C57,ALL!$C$2:$C$341,ALL!G$2:G$341),"")</f>
        <v/>
      </c>
      <c r="G57" s="70" t="str">
        <f>IF(_xlfn.XLOOKUP($C57,ALL!$C$2:$C$341,ALL!H$2:H$341)&lt;&gt;"",_xlfn.XLOOKUP($C57,ALL!$C$2:$C$341,ALL!H$2:H$341),"")</f>
        <v/>
      </c>
      <c r="H57" s="69" t="str">
        <f>IF(_xlfn.XLOOKUP($C57,ALL!$C$2:$C$341,ALL!I$2:I$341)&lt;&gt;"",_xlfn.XLOOKUP($C57,ALL!$C$2:$C$341,ALL!I$2:I$341),"")</f>
        <v/>
      </c>
      <c r="I57" s="69" t="str">
        <f>IF(_xlfn.XLOOKUP($C57,ALL!$C$2:$C$341,ALL!J$2:J$341)&lt;&gt;"",_xlfn.XLOOKUP($C57,ALL!$C$2:$C$341,ALL!J$2:J$341),"")</f>
        <v/>
      </c>
      <c r="J57" s="70" t="str">
        <f>IF(_xlfn.XLOOKUP($C57,ALL!$C$2:$C$341,ALL!K$2:K$341)&lt;&gt;"",_xlfn.XLOOKUP($C57,ALL!$C$2:$C$341,ALL!K$2:K$341),"")</f>
        <v/>
      </c>
      <c r="K57" s="4" t="str">
        <f>IF(_xlfn.XLOOKUP($C57,ALL!$C$2:$C$341,ALL!L$2:L$341)&lt;&gt;"",_xlfn.XLOOKUP($C57,ALL!$C$2:$C$341,ALL!L$2:L$341),"")</f>
        <v/>
      </c>
      <c r="L57" s="4" t="str">
        <f>IF(_xlfn.XLOOKUP($C57,ALL!$C$2:$C$341,ALL!M$2:M$341)&lt;&gt;"",_xlfn.XLOOKUP($C57,ALL!$C$2:$C$341,ALL!M$2:M$341),"")</f>
        <v/>
      </c>
      <c r="M57" s="4" t="str">
        <f>IF(_xlfn.XLOOKUP($C57,ALL!$C$2:$C$341,ALL!N$2:N$341)&lt;&gt;"",_xlfn.XLOOKUP($C57,ALL!$C$2:$C$341,ALL!N$2:N$341),"")</f>
        <v/>
      </c>
    </row>
    <row r="58" spans="1:13" ht="19.2" customHeight="1" x14ac:dyDescent="0.3">
      <c r="A58" s="100" t="str">
        <f t="shared" si="0"/>
        <v/>
      </c>
      <c r="B58" s="94" t="str">
        <f>IF(_xlfn.XLOOKUP($C58,ALL!$C$2:$C$341,ALL!B$2:B$341)&lt;&gt;"",_xlfn.XLOOKUP($C58,ALL!$C$2:$C$341,ALL!B$2:B$341),"")</f>
        <v/>
      </c>
      <c r="D58" s="69" t="str">
        <f>IF(_xlfn.XLOOKUP($C58,ALL!$C$2:$C$341,ALL!D$2:D$341)&lt;&gt;"",_xlfn.XLOOKUP($C58,ALL!$C$2:$C$341,ALL!D$2:D$341),"")</f>
        <v/>
      </c>
      <c r="E58" s="69" t="str">
        <f>IF(_xlfn.XLOOKUP($C58,ALL!$C$2:$C$341,ALL!F$2:F$341)&lt;&gt;"",_xlfn.XLOOKUP($C58,ALL!$C$2:$C$341,ALL!F$2:F$341),"")</f>
        <v/>
      </c>
      <c r="F58" s="69" t="str">
        <f>IF(_xlfn.XLOOKUP($C58,ALL!$C$2:$C$341,ALL!G$2:G$341)&lt;&gt;"",_xlfn.XLOOKUP($C58,ALL!$C$2:$C$341,ALL!G$2:G$341),"")</f>
        <v/>
      </c>
      <c r="G58" s="70" t="str">
        <f>IF(_xlfn.XLOOKUP($C58,ALL!$C$2:$C$341,ALL!H$2:H$341)&lt;&gt;"",_xlfn.XLOOKUP($C58,ALL!$C$2:$C$341,ALL!H$2:H$341),"")</f>
        <v/>
      </c>
      <c r="H58" s="69" t="str">
        <f>IF(_xlfn.XLOOKUP($C58,ALL!$C$2:$C$341,ALL!I$2:I$341)&lt;&gt;"",_xlfn.XLOOKUP($C58,ALL!$C$2:$C$341,ALL!I$2:I$341),"")</f>
        <v/>
      </c>
      <c r="I58" s="69" t="str">
        <f>IF(_xlfn.XLOOKUP($C58,ALL!$C$2:$C$341,ALL!J$2:J$341)&lt;&gt;"",_xlfn.XLOOKUP($C58,ALL!$C$2:$C$341,ALL!J$2:J$341),"")</f>
        <v/>
      </c>
      <c r="J58" s="70" t="str">
        <f>IF(_xlfn.XLOOKUP($C58,ALL!$C$2:$C$341,ALL!K$2:K$341)&lt;&gt;"",_xlfn.XLOOKUP($C58,ALL!$C$2:$C$341,ALL!K$2:K$341),"")</f>
        <v/>
      </c>
      <c r="K58" s="4" t="str">
        <f>IF(_xlfn.XLOOKUP($C58,ALL!$C$2:$C$341,ALL!L$2:L$341)&lt;&gt;"",_xlfn.XLOOKUP($C58,ALL!$C$2:$C$341,ALL!L$2:L$341),"")</f>
        <v/>
      </c>
      <c r="L58" s="4" t="str">
        <f>IF(_xlfn.XLOOKUP($C58,ALL!$C$2:$C$341,ALL!M$2:M$341)&lt;&gt;"",_xlfn.XLOOKUP($C58,ALL!$C$2:$C$341,ALL!M$2:M$341),"")</f>
        <v/>
      </c>
      <c r="M58" s="4" t="str">
        <f>IF(_xlfn.XLOOKUP($C58,ALL!$C$2:$C$341,ALL!N$2:N$341)&lt;&gt;"",_xlfn.XLOOKUP($C58,ALL!$C$2:$C$341,ALL!N$2:N$341),"")</f>
        <v/>
      </c>
    </row>
    <row r="59" spans="1:13" ht="19.2" customHeight="1" x14ac:dyDescent="0.3">
      <c r="A59" s="100" t="str">
        <f t="shared" si="0"/>
        <v/>
      </c>
      <c r="B59" s="94" t="str">
        <f>IF(_xlfn.XLOOKUP($C59,ALL!$C$2:$C$341,ALL!B$2:B$341)&lt;&gt;"",_xlfn.XLOOKUP($C59,ALL!$C$2:$C$341,ALL!B$2:B$341),"")</f>
        <v/>
      </c>
      <c r="D59" s="69" t="str">
        <f>IF(_xlfn.XLOOKUP($C59,ALL!$C$2:$C$341,ALL!D$2:D$341)&lt;&gt;"",_xlfn.XLOOKUP($C59,ALL!$C$2:$C$341,ALL!D$2:D$341),"")</f>
        <v/>
      </c>
      <c r="E59" s="69" t="str">
        <f>IF(_xlfn.XLOOKUP($C59,ALL!$C$2:$C$341,ALL!F$2:F$341)&lt;&gt;"",_xlfn.XLOOKUP($C59,ALL!$C$2:$C$341,ALL!F$2:F$341),"")</f>
        <v/>
      </c>
      <c r="F59" s="69" t="str">
        <f>IF(_xlfn.XLOOKUP($C59,ALL!$C$2:$C$341,ALL!G$2:G$341)&lt;&gt;"",_xlfn.XLOOKUP($C59,ALL!$C$2:$C$341,ALL!G$2:G$341),"")</f>
        <v/>
      </c>
      <c r="G59" s="70" t="str">
        <f>IF(_xlfn.XLOOKUP($C59,ALL!$C$2:$C$341,ALL!H$2:H$341)&lt;&gt;"",_xlfn.XLOOKUP($C59,ALL!$C$2:$C$341,ALL!H$2:H$341),"")</f>
        <v/>
      </c>
      <c r="H59" s="69" t="str">
        <f>IF(_xlfn.XLOOKUP($C59,ALL!$C$2:$C$341,ALL!I$2:I$341)&lt;&gt;"",_xlfn.XLOOKUP($C59,ALL!$C$2:$C$341,ALL!I$2:I$341),"")</f>
        <v/>
      </c>
      <c r="I59" s="69" t="str">
        <f>IF(_xlfn.XLOOKUP($C59,ALL!$C$2:$C$341,ALL!J$2:J$341)&lt;&gt;"",_xlfn.XLOOKUP($C59,ALL!$C$2:$C$341,ALL!J$2:J$341),"")</f>
        <v/>
      </c>
      <c r="J59" s="70" t="str">
        <f>IF(_xlfn.XLOOKUP($C59,ALL!$C$2:$C$341,ALL!K$2:K$341)&lt;&gt;"",_xlfn.XLOOKUP($C59,ALL!$C$2:$C$341,ALL!K$2:K$341),"")</f>
        <v/>
      </c>
      <c r="K59" s="4" t="str">
        <f>IF(_xlfn.XLOOKUP($C59,ALL!$C$2:$C$341,ALL!L$2:L$341)&lt;&gt;"",_xlfn.XLOOKUP($C59,ALL!$C$2:$C$341,ALL!L$2:L$341),"")</f>
        <v/>
      </c>
      <c r="L59" s="4" t="str">
        <f>IF(_xlfn.XLOOKUP($C59,ALL!$C$2:$C$341,ALL!M$2:M$341)&lt;&gt;"",_xlfn.XLOOKUP($C59,ALL!$C$2:$C$341,ALL!M$2:M$341),"")</f>
        <v/>
      </c>
      <c r="M59" s="4" t="str">
        <f>IF(_xlfn.XLOOKUP($C59,ALL!$C$2:$C$341,ALL!N$2:N$341)&lt;&gt;"",_xlfn.XLOOKUP($C59,ALL!$C$2:$C$341,ALL!N$2:N$341),"")</f>
        <v/>
      </c>
    </row>
    <row r="60" spans="1:13" ht="19.2" customHeight="1" x14ac:dyDescent="0.3">
      <c r="A60" s="100" t="str">
        <f t="shared" si="0"/>
        <v/>
      </c>
      <c r="B60" s="94" t="str">
        <f>IF(_xlfn.XLOOKUP($C60,ALL!$C$2:$C$341,ALL!B$2:B$341)&lt;&gt;"",_xlfn.XLOOKUP($C60,ALL!$C$2:$C$341,ALL!B$2:B$341),"")</f>
        <v/>
      </c>
      <c r="D60" s="69" t="str">
        <f>IF(_xlfn.XLOOKUP($C60,ALL!$C$2:$C$341,ALL!D$2:D$341)&lt;&gt;"",_xlfn.XLOOKUP($C60,ALL!$C$2:$C$341,ALL!D$2:D$341),"")</f>
        <v/>
      </c>
      <c r="E60" s="69" t="str">
        <f>IF(_xlfn.XLOOKUP($C60,ALL!$C$2:$C$341,ALL!F$2:F$341)&lt;&gt;"",_xlfn.XLOOKUP($C60,ALL!$C$2:$C$341,ALL!F$2:F$341),"")</f>
        <v/>
      </c>
      <c r="F60" s="69" t="str">
        <f>IF(_xlfn.XLOOKUP($C60,ALL!$C$2:$C$341,ALL!G$2:G$341)&lt;&gt;"",_xlfn.XLOOKUP($C60,ALL!$C$2:$C$341,ALL!G$2:G$341),"")</f>
        <v/>
      </c>
      <c r="G60" s="70" t="str">
        <f>IF(_xlfn.XLOOKUP($C60,ALL!$C$2:$C$341,ALL!H$2:H$341)&lt;&gt;"",_xlfn.XLOOKUP($C60,ALL!$C$2:$C$341,ALL!H$2:H$341),"")</f>
        <v/>
      </c>
      <c r="H60" s="69" t="str">
        <f>IF(_xlfn.XLOOKUP($C60,ALL!$C$2:$C$341,ALL!I$2:I$341)&lt;&gt;"",_xlfn.XLOOKUP($C60,ALL!$C$2:$C$341,ALL!I$2:I$341),"")</f>
        <v/>
      </c>
      <c r="I60" s="69" t="str">
        <f>IF(_xlfn.XLOOKUP($C60,ALL!$C$2:$C$341,ALL!J$2:J$341)&lt;&gt;"",_xlfn.XLOOKUP($C60,ALL!$C$2:$C$341,ALL!J$2:J$341),"")</f>
        <v/>
      </c>
      <c r="J60" s="70" t="str">
        <f>IF(_xlfn.XLOOKUP($C60,ALL!$C$2:$C$341,ALL!K$2:K$341)&lt;&gt;"",_xlfn.XLOOKUP($C60,ALL!$C$2:$C$341,ALL!K$2:K$341),"")</f>
        <v/>
      </c>
      <c r="K60" s="4" t="str">
        <f>IF(_xlfn.XLOOKUP($C60,ALL!$C$2:$C$341,ALL!L$2:L$341)&lt;&gt;"",_xlfn.XLOOKUP($C60,ALL!$C$2:$C$341,ALL!L$2:L$341),"")</f>
        <v/>
      </c>
      <c r="L60" s="4" t="str">
        <f>IF(_xlfn.XLOOKUP($C60,ALL!$C$2:$C$341,ALL!M$2:M$341)&lt;&gt;"",_xlfn.XLOOKUP($C60,ALL!$C$2:$C$341,ALL!M$2:M$341),"")</f>
        <v/>
      </c>
      <c r="M60" s="4" t="str">
        <f>IF(_xlfn.XLOOKUP($C60,ALL!$C$2:$C$341,ALL!N$2:N$341)&lt;&gt;"",_xlfn.XLOOKUP($C60,ALL!$C$2:$C$341,ALL!N$2:N$341),"")</f>
        <v/>
      </c>
    </row>
    <row r="61" spans="1:13" ht="19.2" customHeight="1" x14ac:dyDescent="0.3">
      <c r="A61" s="100" t="str">
        <f t="shared" si="0"/>
        <v/>
      </c>
      <c r="B61" s="94" t="str">
        <f>IF(_xlfn.XLOOKUP($C61,ALL!$C$2:$C$341,ALL!B$2:B$341)&lt;&gt;"",_xlfn.XLOOKUP($C61,ALL!$C$2:$C$341,ALL!B$2:B$341),"")</f>
        <v/>
      </c>
      <c r="D61" s="69" t="str">
        <f>IF(_xlfn.XLOOKUP($C61,ALL!$C$2:$C$341,ALL!D$2:D$341)&lt;&gt;"",_xlfn.XLOOKUP($C61,ALL!$C$2:$C$341,ALL!D$2:D$341),"")</f>
        <v/>
      </c>
      <c r="E61" s="69" t="str">
        <f>IF(_xlfn.XLOOKUP($C61,ALL!$C$2:$C$341,ALL!F$2:F$341)&lt;&gt;"",_xlfn.XLOOKUP($C61,ALL!$C$2:$C$341,ALL!F$2:F$341),"")</f>
        <v/>
      </c>
      <c r="F61" s="69" t="str">
        <f>IF(_xlfn.XLOOKUP($C61,ALL!$C$2:$C$341,ALL!G$2:G$341)&lt;&gt;"",_xlfn.XLOOKUP($C61,ALL!$C$2:$C$341,ALL!G$2:G$341),"")</f>
        <v/>
      </c>
      <c r="G61" s="70" t="str">
        <f>IF(_xlfn.XLOOKUP($C61,ALL!$C$2:$C$341,ALL!H$2:H$341)&lt;&gt;"",_xlfn.XLOOKUP($C61,ALL!$C$2:$C$341,ALL!H$2:H$341),"")</f>
        <v/>
      </c>
      <c r="H61" s="69" t="str">
        <f>IF(_xlfn.XLOOKUP($C61,ALL!$C$2:$C$341,ALL!I$2:I$341)&lt;&gt;"",_xlfn.XLOOKUP($C61,ALL!$C$2:$C$341,ALL!I$2:I$341),"")</f>
        <v/>
      </c>
      <c r="I61" s="69" t="str">
        <f>IF(_xlfn.XLOOKUP($C61,ALL!$C$2:$C$341,ALL!J$2:J$341)&lt;&gt;"",_xlfn.XLOOKUP($C61,ALL!$C$2:$C$341,ALL!J$2:J$341),"")</f>
        <v/>
      </c>
      <c r="J61" s="70" t="str">
        <f>IF(_xlfn.XLOOKUP($C61,ALL!$C$2:$C$341,ALL!K$2:K$341)&lt;&gt;"",_xlfn.XLOOKUP($C61,ALL!$C$2:$C$341,ALL!K$2:K$341),"")</f>
        <v/>
      </c>
      <c r="K61" s="4" t="str">
        <f>IF(_xlfn.XLOOKUP($C61,ALL!$C$2:$C$341,ALL!L$2:L$341)&lt;&gt;"",_xlfn.XLOOKUP($C61,ALL!$C$2:$C$341,ALL!L$2:L$341),"")</f>
        <v/>
      </c>
      <c r="L61" s="4" t="str">
        <f>IF(_xlfn.XLOOKUP($C61,ALL!$C$2:$C$341,ALL!M$2:M$341)&lt;&gt;"",_xlfn.XLOOKUP($C61,ALL!$C$2:$C$341,ALL!M$2:M$341),"")</f>
        <v/>
      </c>
      <c r="M61" s="4" t="str">
        <f>IF(_xlfn.XLOOKUP($C61,ALL!$C$2:$C$341,ALL!N$2:N$341)&lt;&gt;"",_xlfn.XLOOKUP($C61,ALL!$C$2:$C$341,ALL!N$2:N$341),"")</f>
        <v/>
      </c>
    </row>
    <row r="62" spans="1:13" ht="19.2" customHeight="1" x14ac:dyDescent="0.3">
      <c r="A62" s="100" t="str">
        <f t="shared" si="0"/>
        <v/>
      </c>
      <c r="B62" s="94" t="str">
        <f>IF(_xlfn.XLOOKUP($C62,ALL!$C$2:$C$341,ALL!B$2:B$341)&lt;&gt;"",_xlfn.XLOOKUP($C62,ALL!$C$2:$C$341,ALL!B$2:B$341),"")</f>
        <v/>
      </c>
      <c r="D62" s="69" t="str">
        <f>IF(_xlfn.XLOOKUP($C62,ALL!$C$2:$C$341,ALL!D$2:D$341)&lt;&gt;"",_xlfn.XLOOKUP($C62,ALL!$C$2:$C$341,ALL!D$2:D$341),"")</f>
        <v/>
      </c>
      <c r="E62" s="69" t="str">
        <f>IF(_xlfn.XLOOKUP($C62,ALL!$C$2:$C$341,ALL!F$2:F$341)&lt;&gt;"",_xlfn.XLOOKUP($C62,ALL!$C$2:$C$341,ALL!F$2:F$341),"")</f>
        <v/>
      </c>
      <c r="F62" s="69" t="str">
        <f>IF(_xlfn.XLOOKUP($C62,ALL!$C$2:$C$341,ALL!G$2:G$341)&lt;&gt;"",_xlfn.XLOOKUP($C62,ALL!$C$2:$C$341,ALL!G$2:G$341),"")</f>
        <v/>
      </c>
      <c r="G62" s="70" t="str">
        <f>IF(_xlfn.XLOOKUP($C62,ALL!$C$2:$C$341,ALL!H$2:H$341)&lt;&gt;"",_xlfn.XLOOKUP($C62,ALL!$C$2:$C$341,ALL!H$2:H$341),"")</f>
        <v/>
      </c>
      <c r="H62" s="69" t="str">
        <f>IF(_xlfn.XLOOKUP($C62,ALL!$C$2:$C$341,ALL!I$2:I$341)&lt;&gt;"",_xlfn.XLOOKUP($C62,ALL!$C$2:$C$341,ALL!I$2:I$341),"")</f>
        <v/>
      </c>
      <c r="I62" s="69" t="str">
        <f>IF(_xlfn.XLOOKUP($C62,ALL!$C$2:$C$341,ALL!J$2:J$341)&lt;&gt;"",_xlfn.XLOOKUP($C62,ALL!$C$2:$C$341,ALL!J$2:J$341),"")</f>
        <v/>
      </c>
      <c r="J62" s="70" t="str">
        <f>IF(_xlfn.XLOOKUP($C62,ALL!$C$2:$C$341,ALL!K$2:K$341)&lt;&gt;"",_xlfn.XLOOKUP($C62,ALL!$C$2:$C$341,ALL!K$2:K$341),"")</f>
        <v/>
      </c>
      <c r="K62" s="4" t="str">
        <f>IF(_xlfn.XLOOKUP($C62,ALL!$C$2:$C$341,ALL!L$2:L$341)&lt;&gt;"",_xlfn.XLOOKUP($C62,ALL!$C$2:$C$341,ALL!L$2:L$341),"")</f>
        <v/>
      </c>
      <c r="L62" s="4" t="str">
        <f>IF(_xlfn.XLOOKUP($C62,ALL!$C$2:$C$341,ALL!M$2:M$341)&lt;&gt;"",_xlfn.XLOOKUP($C62,ALL!$C$2:$C$341,ALL!M$2:M$341),"")</f>
        <v/>
      </c>
      <c r="M62" s="4" t="str">
        <f>IF(_xlfn.XLOOKUP($C62,ALL!$C$2:$C$341,ALL!N$2:N$341)&lt;&gt;"",_xlfn.XLOOKUP($C62,ALL!$C$2:$C$341,ALL!N$2:N$341),"")</f>
        <v/>
      </c>
    </row>
    <row r="63" spans="1:13" ht="19.2" customHeight="1" x14ac:dyDescent="0.3">
      <c r="A63" s="100" t="str">
        <f t="shared" si="0"/>
        <v/>
      </c>
      <c r="B63" s="94" t="str">
        <f>IF(_xlfn.XLOOKUP($C63,ALL!$C$2:$C$341,ALL!B$2:B$341)&lt;&gt;"",_xlfn.XLOOKUP($C63,ALL!$C$2:$C$341,ALL!B$2:B$341),"")</f>
        <v/>
      </c>
      <c r="D63" s="69" t="str">
        <f>IF(_xlfn.XLOOKUP($C63,ALL!$C$2:$C$341,ALL!D$2:D$341)&lt;&gt;"",_xlfn.XLOOKUP($C63,ALL!$C$2:$C$341,ALL!D$2:D$341),"")</f>
        <v/>
      </c>
      <c r="E63" s="69" t="str">
        <f>IF(_xlfn.XLOOKUP($C63,ALL!$C$2:$C$341,ALL!F$2:F$341)&lt;&gt;"",_xlfn.XLOOKUP($C63,ALL!$C$2:$C$341,ALL!F$2:F$341),"")</f>
        <v/>
      </c>
      <c r="F63" s="69" t="str">
        <f>IF(_xlfn.XLOOKUP($C63,ALL!$C$2:$C$341,ALL!G$2:G$341)&lt;&gt;"",_xlfn.XLOOKUP($C63,ALL!$C$2:$C$341,ALL!G$2:G$341),"")</f>
        <v/>
      </c>
      <c r="G63" s="70" t="str">
        <f>IF(_xlfn.XLOOKUP($C63,ALL!$C$2:$C$341,ALL!H$2:H$341)&lt;&gt;"",_xlfn.XLOOKUP($C63,ALL!$C$2:$C$341,ALL!H$2:H$341),"")</f>
        <v/>
      </c>
      <c r="H63" s="69" t="str">
        <f>IF(_xlfn.XLOOKUP($C63,ALL!$C$2:$C$341,ALL!I$2:I$341)&lt;&gt;"",_xlfn.XLOOKUP($C63,ALL!$C$2:$C$341,ALL!I$2:I$341),"")</f>
        <v/>
      </c>
      <c r="I63" s="69" t="str">
        <f>IF(_xlfn.XLOOKUP($C63,ALL!$C$2:$C$341,ALL!J$2:J$341)&lt;&gt;"",_xlfn.XLOOKUP($C63,ALL!$C$2:$C$341,ALL!J$2:J$341),"")</f>
        <v/>
      </c>
      <c r="J63" s="70" t="str">
        <f>IF(_xlfn.XLOOKUP($C63,ALL!$C$2:$C$341,ALL!K$2:K$341)&lt;&gt;"",_xlfn.XLOOKUP($C63,ALL!$C$2:$C$341,ALL!K$2:K$341),"")</f>
        <v/>
      </c>
      <c r="K63" s="4" t="str">
        <f>IF(_xlfn.XLOOKUP($C63,ALL!$C$2:$C$341,ALL!L$2:L$341)&lt;&gt;"",_xlfn.XLOOKUP($C63,ALL!$C$2:$C$341,ALL!L$2:L$341),"")</f>
        <v/>
      </c>
      <c r="L63" s="4" t="str">
        <f>IF(_xlfn.XLOOKUP($C63,ALL!$C$2:$C$341,ALL!M$2:M$341)&lt;&gt;"",_xlfn.XLOOKUP($C63,ALL!$C$2:$C$341,ALL!M$2:M$341),"")</f>
        <v/>
      </c>
      <c r="M63" s="4" t="str">
        <f>IF(_xlfn.XLOOKUP($C63,ALL!$C$2:$C$341,ALL!N$2:N$341)&lt;&gt;"",_xlfn.XLOOKUP($C63,ALL!$C$2:$C$341,ALL!N$2:N$341),"")</f>
        <v/>
      </c>
    </row>
    <row r="64" spans="1:13" ht="19.2" customHeight="1" x14ac:dyDescent="0.3">
      <c r="A64" s="100" t="str">
        <f t="shared" si="0"/>
        <v/>
      </c>
      <c r="B64" s="94" t="str">
        <f>IF(_xlfn.XLOOKUP($C64,ALL!$C$2:$C$341,ALL!B$2:B$341)&lt;&gt;"",_xlfn.XLOOKUP($C64,ALL!$C$2:$C$341,ALL!B$2:B$341),"")</f>
        <v/>
      </c>
      <c r="D64" s="69" t="str">
        <f>IF(_xlfn.XLOOKUP($C64,ALL!$C$2:$C$341,ALL!D$2:D$341)&lt;&gt;"",_xlfn.XLOOKUP($C64,ALL!$C$2:$C$341,ALL!D$2:D$341),"")</f>
        <v/>
      </c>
      <c r="E64" s="69" t="str">
        <f>IF(_xlfn.XLOOKUP($C64,ALL!$C$2:$C$341,ALL!F$2:F$341)&lt;&gt;"",_xlfn.XLOOKUP($C64,ALL!$C$2:$C$341,ALL!F$2:F$341),"")</f>
        <v/>
      </c>
      <c r="F64" s="69" t="str">
        <f>IF(_xlfn.XLOOKUP($C64,ALL!$C$2:$C$341,ALL!G$2:G$341)&lt;&gt;"",_xlfn.XLOOKUP($C64,ALL!$C$2:$C$341,ALL!G$2:G$341),"")</f>
        <v/>
      </c>
      <c r="G64" s="70" t="str">
        <f>IF(_xlfn.XLOOKUP($C64,ALL!$C$2:$C$341,ALL!H$2:H$341)&lt;&gt;"",_xlfn.XLOOKUP($C64,ALL!$C$2:$C$341,ALL!H$2:H$341),"")</f>
        <v/>
      </c>
      <c r="H64" s="69" t="str">
        <f>IF(_xlfn.XLOOKUP($C64,ALL!$C$2:$C$341,ALL!I$2:I$341)&lt;&gt;"",_xlfn.XLOOKUP($C64,ALL!$C$2:$C$341,ALL!I$2:I$341),"")</f>
        <v/>
      </c>
      <c r="I64" s="69" t="str">
        <f>IF(_xlfn.XLOOKUP($C64,ALL!$C$2:$C$341,ALL!J$2:J$341)&lt;&gt;"",_xlfn.XLOOKUP($C64,ALL!$C$2:$C$341,ALL!J$2:J$341),"")</f>
        <v/>
      </c>
      <c r="J64" s="70" t="str">
        <f>IF(_xlfn.XLOOKUP($C64,ALL!$C$2:$C$341,ALL!K$2:K$341)&lt;&gt;"",_xlfn.XLOOKUP($C64,ALL!$C$2:$C$341,ALL!K$2:K$341),"")</f>
        <v/>
      </c>
      <c r="K64" s="4" t="str">
        <f>IF(_xlfn.XLOOKUP($C64,ALL!$C$2:$C$341,ALL!L$2:L$341)&lt;&gt;"",_xlfn.XLOOKUP($C64,ALL!$C$2:$C$341,ALL!L$2:L$341),"")</f>
        <v/>
      </c>
      <c r="L64" s="4" t="str">
        <f>IF(_xlfn.XLOOKUP($C64,ALL!$C$2:$C$341,ALL!M$2:M$341)&lt;&gt;"",_xlfn.XLOOKUP($C64,ALL!$C$2:$C$341,ALL!M$2:M$341),"")</f>
        <v/>
      </c>
      <c r="M64" s="4" t="str">
        <f>IF(_xlfn.XLOOKUP($C64,ALL!$C$2:$C$341,ALL!N$2:N$341)&lt;&gt;"",_xlfn.XLOOKUP($C64,ALL!$C$2:$C$341,ALL!N$2:N$341),"")</f>
        <v/>
      </c>
    </row>
    <row r="65" spans="1:13" ht="19.2" customHeight="1" x14ac:dyDescent="0.3">
      <c r="A65" s="100" t="str">
        <f t="shared" si="0"/>
        <v/>
      </c>
      <c r="B65" s="94" t="str">
        <f>IF(_xlfn.XLOOKUP($C65,ALL!$C$2:$C$341,ALL!B$2:B$341)&lt;&gt;"",_xlfn.XLOOKUP($C65,ALL!$C$2:$C$341,ALL!B$2:B$341),"")</f>
        <v/>
      </c>
      <c r="D65" s="69" t="str">
        <f>IF(_xlfn.XLOOKUP($C65,ALL!$C$2:$C$341,ALL!D$2:D$341)&lt;&gt;"",_xlfn.XLOOKUP($C65,ALL!$C$2:$C$341,ALL!D$2:D$341),"")</f>
        <v/>
      </c>
      <c r="E65" s="69" t="str">
        <f>IF(_xlfn.XLOOKUP($C65,ALL!$C$2:$C$341,ALL!F$2:F$341)&lt;&gt;"",_xlfn.XLOOKUP($C65,ALL!$C$2:$C$341,ALL!F$2:F$341),"")</f>
        <v/>
      </c>
      <c r="F65" s="69" t="str">
        <f>IF(_xlfn.XLOOKUP($C65,ALL!$C$2:$C$341,ALL!G$2:G$341)&lt;&gt;"",_xlfn.XLOOKUP($C65,ALL!$C$2:$C$341,ALL!G$2:G$341),"")</f>
        <v/>
      </c>
      <c r="G65" s="70" t="str">
        <f>IF(_xlfn.XLOOKUP($C65,ALL!$C$2:$C$341,ALL!H$2:H$341)&lt;&gt;"",_xlfn.XLOOKUP($C65,ALL!$C$2:$C$341,ALL!H$2:H$341),"")</f>
        <v/>
      </c>
      <c r="H65" s="69" t="str">
        <f>IF(_xlfn.XLOOKUP($C65,ALL!$C$2:$C$341,ALL!I$2:I$341)&lt;&gt;"",_xlfn.XLOOKUP($C65,ALL!$C$2:$C$341,ALL!I$2:I$341),"")</f>
        <v/>
      </c>
      <c r="I65" s="69" t="str">
        <f>IF(_xlfn.XLOOKUP($C65,ALL!$C$2:$C$341,ALL!J$2:J$341)&lt;&gt;"",_xlfn.XLOOKUP($C65,ALL!$C$2:$C$341,ALL!J$2:J$341),"")</f>
        <v/>
      </c>
      <c r="J65" s="70" t="str">
        <f>IF(_xlfn.XLOOKUP($C65,ALL!$C$2:$C$341,ALL!K$2:K$341)&lt;&gt;"",_xlfn.XLOOKUP($C65,ALL!$C$2:$C$341,ALL!K$2:K$341),"")</f>
        <v/>
      </c>
      <c r="K65" s="4" t="str">
        <f>IF(_xlfn.XLOOKUP($C65,ALL!$C$2:$C$341,ALL!L$2:L$341)&lt;&gt;"",_xlfn.XLOOKUP($C65,ALL!$C$2:$C$341,ALL!L$2:L$341),"")</f>
        <v/>
      </c>
      <c r="L65" s="4" t="str">
        <f>IF(_xlfn.XLOOKUP($C65,ALL!$C$2:$C$341,ALL!M$2:M$341)&lt;&gt;"",_xlfn.XLOOKUP($C65,ALL!$C$2:$C$341,ALL!M$2:M$341),"")</f>
        <v/>
      </c>
      <c r="M65" s="4" t="str">
        <f>IF(_xlfn.XLOOKUP($C65,ALL!$C$2:$C$341,ALL!N$2:N$341)&lt;&gt;"",_xlfn.XLOOKUP($C65,ALL!$C$2:$C$341,ALL!N$2:N$341),"")</f>
        <v/>
      </c>
    </row>
    <row r="66" spans="1:13" ht="19.2" customHeight="1" x14ac:dyDescent="0.3">
      <c r="A66" s="100" t="str">
        <f t="shared" si="0"/>
        <v/>
      </c>
      <c r="B66" s="94" t="str">
        <f>IF(_xlfn.XLOOKUP($C66,ALL!$C$2:$C$341,ALL!B$2:B$341)&lt;&gt;"",_xlfn.XLOOKUP($C66,ALL!$C$2:$C$341,ALL!B$2:B$341),"")</f>
        <v/>
      </c>
      <c r="D66" s="69" t="str">
        <f>IF(_xlfn.XLOOKUP($C66,ALL!$C$2:$C$341,ALL!D$2:D$341)&lt;&gt;"",_xlfn.XLOOKUP($C66,ALL!$C$2:$C$341,ALL!D$2:D$341),"")</f>
        <v/>
      </c>
      <c r="E66" s="69" t="str">
        <f>IF(_xlfn.XLOOKUP($C66,ALL!$C$2:$C$341,ALL!F$2:F$341)&lt;&gt;"",_xlfn.XLOOKUP($C66,ALL!$C$2:$C$341,ALL!F$2:F$341),"")</f>
        <v/>
      </c>
      <c r="F66" s="69" t="str">
        <f>IF(_xlfn.XLOOKUP($C66,ALL!$C$2:$C$341,ALL!G$2:G$341)&lt;&gt;"",_xlfn.XLOOKUP($C66,ALL!$C$2:$C$341,ALL!G$2:G$341),"")</f>
        <v/>
      </c>
      <c r="G66" s="70" t="str">
        <f>IF(_xlfn.XLOOKUP($C66,ALL!$C$2:$C$341,ALL!H$2:H$341)&lt;&gt;"",_xlfn.XLOOKUP($C66,ALL!$C$2:$C$341,ALL!H$2:H$341),"")</f>
        <v/>
      </c>
      <c r="H66" s="69" t="str">
        <f>IF(_xlfn.XLOOKUP($C66,ALL!$C$2:$C$341,ALL!I$2:I$341)&lt;&gt;"",_xlfn.XLOOKUP($C66,ALL!$C$2:$C$341,ALL!I$2:I$341),"")</f>
        <v/>
      </c>
      <c r="I66" s="69" t="str">
        <f>IF(_xlfn.XLOOKUP($C66,ALL!$C$2:$C$341,ALL!J$2:J$341)&lt;&gt;"",_xlfn.XLOOKUP($C66,ALL!$C$2:$C$341,ALL!J$2:J$341),"")</f>
        <v/>
      </c>
      <c r="J66" s="70" t="str">
        <f>IF(_xlfn.XLOOKUP($C66,ALL!$C$2:$C$341,ALL!K$2:K$341)&lt;&gt;"",_xlfn.XLOOKUP($C66,ALL!$C$2:$C$341,ALL!K$2:K$341),"")</f>
        <v/>
      </c>
      <c r="K66" s="4" t="str">
        <f>IF(_xlfn.XLOOKUP($C66,ALL!$C$2:$C$341,ALL!L$2:L$341)&lt;&gt;"",_xlfn.XLOOKUP($C66,ALL!$C$2:$C$341,ALL!L$2:L$341),"")</f>
        <v/>
      </c>
      <c r="L66" s="4" t="str">
        <f>IF(_xlfn.XLOOKUP($C66,ALL!$C$2:$C$341,ALL!M$2:M$341)&lt;&gt;"",_xlfn.XLOOKUP($C66,ALL!$C$2:$C$341,ALL!M$2:M$341),"")</f>
        <v/>
      </c>
      <c r="M66" s="4" t="str">
        <f>IF(_xlfn.XLOOKUP($C66,ALL!$C$2:$C$341,ALL!N$2:N$341)&lt;&gt;"",_xlfn.XLOOKUP($C66,ALL!$C$2:$C$341,ALL!N$2:N$341),"")</f>
        <v/>
      </c>
    </row>
    <row r="67" spans="1:13" ht="19.2" customHeight="1" x14ac:dyDescent="0.3">
      <c r="A67" s="100" t="str">
        <f t="shared" si="0"/>
        <v/>
      </c>
      <c r="B67" s="94" t="str">
        <f>IF(_xlfn.XLOOKUP($C67,ALL!$C$2:$C$341,ALL!B$2:B$341)&lt;&gt;"",_xlfn.XLOOKUP($C67,ALL!$C$2:$C$341,ALL!B$2:B$341),"")</f>
        <v/>
      </c>
      <c r="D67" s="69" t="str">
        <f>IF(_xlfn.XLOOKUP($C67,ALL!$C$2:$C$341,ALL!D$2:D$341)&lt;&gt;"",_xlfn.XLOOKUP($C67,ALL!$C$2:$C$341,ALL!D$2:D$341),"")</f>
        <v/>
      </c>
      <c r="E67" s="69" t="str">
        <f>IF(_xlfn.XLOOKUP($C67,ALL!$C$2:$C$341,ALL!F$2:F$341)&lt;&gt;"",_xlfn.XLOOKUP($C67,ALL!$C$2:$C$341,ALL!F$2:F$341),"")</f>
        <v/>
      </c>
      <c r="F67" s="69" t="str">
        <f>IF(_xlfn.XLOOKUP($C67,ALL!$C$2:$C$341,ALL!G$2:G$341)&lt;&gt;"",_xlfn.XLOOKUP($C67,ALL!$C$2:$C$341,ALL!G$2:G$341),"")</f>
        <v/>
      </c>
      <c r="G67" s="70" t="str">
        <f>IF(_xlfn.XLOOKUP($C67,ALL!$C$2:$C$341,ALL!H$2:H$341)&lt;&gt;"",_xlfn.XLOOKUP($C67,ALL!$C$2:$C$341,ALL!H$2:H$341),"")</f>
        <v/>
      </c>
      <c r="H67" s="69" t="str">
        <f>IF(_xlfn.XLOOKUP($C67,ALL!$C$2:$C$341,ALL!I$2:I$341)&lt;&gt;"",_xlfn.XLOOKUP($C67,ALL!$C$2:$C$341,ALL!I$2:I$341),"")</f>
        <v/>
      </c>
      <c r="I67" s="69" t="str">
        <f>IF(_xlfn.XLOOKUP($C67,ALL!$C$2:$C$341,ALL!J$2:J$341)&lt;&gt;"",_xlfn.XLOOKUP($C67,ALL!$C$2:$C$341,ALL!J$2:J$341),"")</f>
        <v/>
      </c>
      <c r="J67" s="70" t="str">
        <f>IF(_xlfn.XLOOKUP($C67,ALL!$C$2:$C$341,ALL!K$2:K$341)&lt;&gt;"",_xlfn.XLOOKUP($C67,ALL!$C$2:$C$341,ALL!K$2:K$341),"")</f>
        <v/>
      </c>
      <c r="K67" s="4" t="str">
        <f>IF(_xlfn.XLOOKUP($C67,ALL!$C$2:$C$341,ALL!L$2:L$341)&lt;&gt;"",_xlfn.XLOOKUP($C67,ALL!$C$2:$C$341,ALL!L$2:L$341),"")</f>
        <v/>
      </c>
      <c r="L67" s="4" t="str">
        <f>IF(_xlfn.XLOOKUP($C67,ALL!$C$2:$C$341,ALL!M$2:M$341)&lt;&gt;"",_xlfn.XLOOKUP($C67,ALL!$C$2:$C$341,ALL!M$2:M$341),"")</f>
        <v/>
      </c>
      <c r="M67" s="4" t="str">
        <f>IF(_xlfn.XLOOKUP($C67,ALL!$C$2:$C$341,ALL!N$2:N$341)&lt;&gt;"",_xlfn.XLOOKUP($C67,ALL!$C$2:$C$341,ALL!N$2:N$341),"")</f>
        <v/>
      </c>
    </row>
    <row r="68" spans="1:13" ht="19.2" customHeight="1" x14ac:dyDescent="0.3">
      <c r="A68" s="100" t="str">
        <f t="shared" si="0"/>
        <v/>
      </c>
      <c r="B68" s="94" t="str">
        <f>IF(_xlfn.XLOOKUP($C68,ALL!$C$2:$C$341,ALL!B$2:B$341)&lt;&gt;"",_xlfn.XLOOKUP($C68,ALL!$C$2:$C$341,ALL!B$2:B$341),"")</f>
        <v/>
      </c>
      <c r="D68" s="69" t="str">
        <f>IF(_xlfn.XLOOKUP($C68,ALL!$C$2:$C$341,ALL!D$2:D$341)&lt;&gt;"",_xlfn.XLOOKUP($C68,ALL!$C$2:$C$341,ALL!D$2:D$341),"")</f>
        <v/>
      </c>
      <c r="E68" s="69" t="str">
        <f>IF(_xlfn.XLOOKUP($C68,ALL!$C$2:$C$341,ALL!F$2:F$341)&lt;&gt;"",_xlfn.XLOOKUP($C68,ALL!$C$2:$C$341,ALL!F$2:F$341),"")</f>
        <v/>
      </c>
      <c r="F68" s="69" t="str">
        <f>IF(_xlfn.XLOOKUP($C68,ALL!$C$2:$C$341,ALL!G$2:G$341)&lt;&gt;"",_xlfn.XLOOKUP($C68,ALL!$C$2:$C$341,ALL!G$2:G$341),"")</f>
        <v/>
      </c>
      <c r="G68" s="70" t="str">
        <f>IF(_xlfn.XLOOKUP($C68,ALL!$C$2:$C$341,ALL!H$2:H$341)&lt;&gt;"",_xlfn.XLOOKUP($C68,ALL!$C$2:$C$341,ALL!H$2:H$341),"")</f>
        <v/>
      </c>
      <c r="H68" s="69" t="str">
        <f>IF(_xlfn.XLOOKUP($C68,ALL!$C$2:$C$341,ALL!I$2:I$341)&lt;&gt;"",_xlfn.XLOOKUP($C68,ALL!$C$2:$C$341,ALL!I$2:I$341),"")</f>
        <v/>
      </c>
      <c r="I68" s="69" t="str">
        <f>IF(_xlfn.XLOOKUP($C68,ALL!$C$2:$C$341,ALL!J$2:J$341)&lt;&gt;"",_xlfn.XLOOKUP($C68,ALL!$C$2:$C$341,ALL!J$2:J$341),"")</f>
        <v/>
      </c>
      <c r="J68" s="70" t="str">
        <f>IF(_xlfn.XLOOKUP($C68,ALL!$C$2:$C$341,ALL!K$2:K$341)&lt;&gt;"",_xlfn.XLOOKUP($C68,ALL!$C$2:$C$341,ALL!K$2:K$341),"")</f>
        <v/>
      </c>
      <c r="K68" s="4" t="str">
        <f>IF(_xlfn.XLOOKUP($C68,ALL!$C$2:$C$341,ALL!L$2:L$341)&lt;&gt;"",_xlfn.XLOOKUP($C68,ALL!$C$2:$C$341,ALL!L$2:L$341),"")</f>
        <v/>
      </c>
      <c r="L68" s="4" t="str">
        <f>IF(_xlfn.XLOOKUP($C68,ALL!$C$2:$C$341,ALL!M$2:M$341)&lt;&gt;"",_xlfn.XLOOKUP($C68,ALL!$C$2:$C$341,ALL!M$2:M$341),"")</f>
        <v/>
      </c>
      <c r="M68" s="4" t="str">
        <f>IF(_xlfn.XLOOKUP($C68,ALL!$C$2:$C$341,ALL!N$2:N$341)&lt;&gt;"",_xlfn.XLOOKUP($C68,ALL!$C$2:$C$341,ALL!N$2:N$341),"")</f>
        <v/>
      </c>
    </row>
    <row r="69" spans="1:13" ht="19.2" customHeight="1" x14ac:dyDescent="0.3">
      <c r="A69" s="100" t="str">
        <f t="shared" si="0"/>
        <v/>
      </c>
      <c r="B69" s="94" t="str">
        <f>IF(_xlfn.XLOOKUP($C69,ALL!$C$2:$C$341,ALL!B$2:B$341)&lt;&gt;"",_xlfn.XLOOKUP($C69,ALL!$C$2:$C$341,ALL!B$2:B$341),"")</f>
        <v/>
      </c>
      <c r="D69" s="69" t="str">
        <f>IF(_xlfn.XLOOKUP($C69,ALL!$C$2:$C$341,ALL!D$2:D$341)&lt;&gt;"",_xlfn.XLOOKUP($C69,ALL!$C$2:$C$341,ALL!D$2:D$341),"")</f>
        <v/>
      </c>
      <c r="E69" s="69" t="str">
        <f>IF(_xlfn.XLOOKUP($C69,ALL!$C$2:$C$341,ALL!F$2:F$341)&lt;&gt;"",_xlfn.XLOOKUP($C69,ALL!$C$2:$C$341,ALL!F$2:F$341),"")</f>
        <v/>
      </c>
      <c r="F69" s="69" t="str">
        <f>IF(_xlfn.XLOOKUP($C69,ALL!$C$2:$C$341,ALL!G$2:G$341)&lt;&gt;"",_xlfn.XLOOKUP($C69,ALL!$C$2:$C$341,ALL!G$2:G$341),"")</f>
        <v/>
      </c>
      <c r="G69" s="70" t="str">
        <f>IF(_xlfn.XLOOKUP($C69,ALL!$C$2:$C$341,ALL!H$2:H$341)&lt;&gt;"",_xlfn.XLOOKUP($C69,ALL!$C$2:$C$341,ALL!H$2:H$341),"")</f>
        <v/>
      </c>
      <c r="H69" s="69" t="str">
        <f>IF(_xlfn.XLOOKUP($C69,ALL!$C$2:$C$341,ALL!I$2:I$341)&lt;&gt;"",_xlfn.XLOOKUP($C69,ALL!$C$2:$C$341,ALL!I$2:I$341),"")</f>
        <v/>
      </c>
      <c r="I69" s="69" t="str">
        <f>IF(_xlfn.XLOOKUP($C69,ALL!$C$2:$C$341,ALL!J$2:J$341)&lt;&gt;"",_xlfn.XLOOKUP($C69,ALL!$C$2:$C$341,ALL!J$2:J$341),"")</f>
        <v/>
      </c>
      <c r="J69" s="70" t="str">
        <f>IF(_xlfn.XLOOKUP($C69,ALL!$C$2:$C$341,ALL!K$2:K$341)&lt;&gt;"",_xlfn.XLOOKUP($C69,ALL!$C$2:$C$341,ALL!K$2:K$341),"")</f>
        <v/>
      </c>
      <c r="K69" s="4" t="str">
        <f>IF(_xlfn.XLOOKUP($C69,ALL!$C$2:$C$341,ALL!L$2:L$341)&lt;&gt;"",_xlfn.XLOOKUP($C69,ALL!$C$2:$C$341,ALL!L$2:L$341),"")</f>
        <v/>
      </c>
      <c r="L69" s="4" t="str">
        <f>IF(_xlfn.XLOOKUP($C69,ALL!$C$2:$C$341,ALL!M$2:M$341)&lt;&gt;"",_xlfn.XLOOKUP($C69,ALL!$C$2:$C$341,ALL!M$2:M$341),"")</f>
        <v/>
      </c>
      <c r="M69" s="4" t="str">
        <f>IF(_xlfn.XLOOKUP($C69,ALL!$C$2:$C$341,ALL!N$2:N$341)&lt;&gt;"",_xlfn.XLOOKUP($C69,ALL!$C$2:$C$341,ALL!N$2:N$341),"")</f>
        <v/>
      </c>
    </row>
    <row r="70" spans="1:13" ht="19.2" customHeight="1" x14ac:dyDescent="0.3">
      <c r="A70" s="100" t="str">
        <f t="shared" si="0"/>
        <v/>
      </c>
      <c r="B70" s="94" t="str">
        <f>IF(_xlfn.XLOOKUP($C70,ALL!$C$2:$C$341,ALL!B$2:B$341)&lt;&gt;"",_xlfn.XLOOKUP($C70,ALL!$C$2:$C$341,ALL!B$2:B$341),"")</f>
        <v/>
      </c>
      <c r="D70" s="69" t="str">
        <f>IF(_xlfn.XLOOKUP($C70,ALL!$C$2:$C$341,ALL!D$2:D$341)&lt;&gt;"",_xlfn.XLOOKUP($C70,ALL!$C$2:$C$341,ALL!D$2:D$341),"")</f>
        <v/>
      </c>
      <c r="E70" s="69" t="str">
        <f>IF(_xlfn.XLOOKUP($C70,ALL!$C$2:$C$341,ALL!F$2:F$341)&lt;&gt;"",_xlfn.XLOOKUP($C70,ALL!$C$2:$C$341,ALL!F$2:F$341),"")</f>
        <v/>
      </c>
      <c r="F70" s="69" t="str">
        <f>IF(_xlfn.XLOOKUP($C70,ALL!$C$2:$C$341,ALL!G$2:G$341)&lt;&gt;"",_xlfn.XLOOKUP($C70,ALL!$C$2:$C$341,ALL!G$2:G$341),"")</f>
        <v/>
      </c>
      <c r="G70" s="70" t="str">
        <f>IF(_xlfn.XLOOKUP($C70,ALL!$C$2:$C$341,ALL!H$2:H$341)&lt;&gt;"",_xlfn.XLOOKUP($C70,ALL!$C$2:$C$341,ALL!H$2:H$341),"")</f>
        <v/>
      </c>
      <c r="H70" s="69" t="str">
        <f>IF(_xlfn.XLOOKUP($C70,ALL!$C$2:$C$341,ALL!I$2:I$341)&lt;&gt;"",_xlfn.XLOOKUP($C70,ALL!$C$2:$C$341,ALL!I$2:I$341),"")</f>
        <v/>
      </c>
      <c r="I70" s="69" t="str">
        <f>IF(_xlfn.XLOOKUP($C70,ALL!$C$2:$C$341,ALL!J$2:J$341)&lt;&gt;"",_xlfn.XLOOKUP($C70,ALL!$C$2:$C$341,ALL!J$2:J$341),"")</f>
        <v/>
      </c>
      <c r="J70" s="70" t="str">
        <f>IF(_xlfn.XLOOKUP($C70,ALL!$C$2:$C$341,ALL!K$2:K$341)&lt;&gt;"",_xlfn.XLOOKUP($C70,ALL!$C$2:$C$341,ALL!K$2:K$341),"")</f>
        <v/>
      </c>
      <c r="K70" s="4" t="str">
        <f>IF(_xlfn.XLOOKUP($C70,ALL!$C$2:$C$341,ALL!L$2:L$341)&lt;&gt;"",_xlfn.XLOOKUP($C70,ALL!$C$2:$C$341,ALL!L$2:L$341),"")</f>
        <v/>
      </c>
      <c r="L70" s="4" t="str">
        <f>IF(_xlfn.XLOOKUP($C70,ALL!$C$2:$C$341,ALL!M$2:M$341)&lt;&gt;"",_xlfn.XLOOKUP($C70,ALL!$C$2:$C$341,ALL!M$2:M$341),"")</f>
        <v/>
      </c>
      <c r="M70" s="4" t="str">
        <f>IF(_xlfn.XLOOKUP($C70,ALL!$C$2:$C$341,ALL!N$2:N$341)&lt;&gt;"",_xlfn.XLOOKUP($C70,ALL!$C$2:$C$341,ALL!N$2:N$341),"")</f>
        <v/>
      </c>
    </row>
    <row r="71" spans="1:13" ht="19.2" customHeight="1" x14ac:dyDescent="0.3">
      <c r="A71" s="100" t="str">
        <f t="shared" si="0"/>
        <v/>
      </c>
      <c r="B71" s="94" t="str">
        <f>IF(_xlfn.XLOOKUP($C71,ALL!$C$2:$C$341,ALL!B$2:B$341)&lt;&gt;"",_xlfn.XLOOKUP($C71,ALL!$C$2:$C$341,ALL!B$2:B$341),"")</f>
        <v/>
      </c>
      <c r="D71" s="69" t="str">
        <f>IF(_xlfn.XLOOKUP($C71,ALL!$C$2:$C$341,ALL!D$2:D$341)&lt;&gt;"",_xlfn.XLOOKUP($C71,ALL!$C$2:$C$341,ALL!D$2:D$341),"")</f>
        <v/>
      </c>
      <c r="E71" s="69" t="str">
        <f>IF(_xlfn.XLOOKUP($C71,ALL!$C$2:$C$341,ALL!F$2:F$341)&lt;&gt;"",_xlfn.XLOOKUP($C71,ALL!$C$2:$C$341,ALL!F$2:F$341),"")</f>
        <v/>
      </c>
      <c r="F71" s="69" t="str">
        <f>IF(_xlfn.XLOOKUP($C71,ALL!$C$2:$C$341,ALL!G$2:G$341)&lt;&gt;"",_xlfn.XLOOKUP($C71,ALL!$C$2:$C$341,ALL!G$2:G$341),"")</f>
        <v/>
      </c>
      <c r="G71" s="70" t="str">
        <f>IF(_xlfn.XLOOKUP($C71,ALL!$C$2:$C$341,ALL!H$2:H$341)&lt;&gt;"",_xlfn.XLOOKUP($C71,ALL!$C$2:$C$341,ALL!H$2:H$341),"")</f>
        <v/>
      </c>
      <c r="H71" s="69" t="str">
        <f>IF(_xlfn.XLOOKUP($C71,ALL!$C$2:$C$341,ALL!I$2:I$341)&lt;&gt;"",_xlfn.XLOOKUP($C71,ALL!$C$2:$C$341,ALL!I$2:I$341),"")</f>
        <v/>
      </c>
      <c r="I71" s="69" t="str">
        <f>IF(_xlfn.XLOOKUP($C71,ALL!$C$2:$C$341,ALL!J$2:J$341)&lt;&gt;"",_xlfn.XLOOKUP($C71,ALL!$C$2:$C$341,ALL!J$2:J$341),"")</f>
        <v/>
      </c>
      <c r="J71" s="70" t="str">
        <f>IF(_xlfn.XLOOKUP($C71,ALL!$C$2:$C$341,ALL!K$2:K$341)&lt;&gt;"",_xlfn.XLOOKUP($C71,ALL!$C$2:$C$341,ALL!K$2:K$341),"")</f>
        <v/>
      </c>
      <c r="K71" s="4" t="str">
        <f>IF(_xlfn.XLOOKUP($C71,ALL!$C$2:$C$341,ALL!L$2:L$341)&lt;&gt;"",_xlfn.XLOOKUP($C71,ALL!$C$2:$C$341,ALL!L$2:L$341),"")</f>
        <v/>
      </c>
      <c r="L71" s="4" t="str">
        <f>IF(_xlfn.XLOOKUP($C71,ALL!$C$2:$C$341,ALL!M$2:M$341)&lt;&gt;"",_xlfn.XLOOKUP($C71,ALL!$C$2:$C$341,ALL!M$2:M$341),"")</f>
        <v/>
      </c>
      <c r="M71" s="4" t="str">
        <f>IF(_xlfn.XLOOKUP($C71,ALL!$C$2:$C$341,ALL!N$2:N$341)&lt;&gt;"",_xlfn.XLOOKUP($C71,ALL!$C$2:$C$341,ALL!N$2:N$341),"")</f>
        <v/>
      </c>
    </row>
    <row r="72" spans="1:13" ht="19.2" customHeight="1" x14ac:dyDescent="0.3">
      <c r="A72" s="100" t="str">
        <f t="shared" si="0"/>
        <v/>
      </c>
      <c r="B72" s="94" t="str">
        <f>IF(_xlfn.XLOOKUP($C72,ALL!$C$2:$C$341,ALL!B$2:B$341)&lt;&gt;"",_xlfn.XLOOKUP($C72,ALL!$C$2:$C$341,ALL!B$2:B$341),"")</f>
        <v/>
      </c>
      <c r="D72" s="69" t="str">
        <f>IF(_xlfn.XLOOKUP($C72,ALL!$C$2:$C$341,ALL!D$2:D$341)&lt;&gt;"",_xlfn.XLOOKUP($C72,ALL!$C$2:$C$341,ALL!D$2:D$341),"")</f>
        <v/>
      </c>
      <c r="E72" s="69" t="str">
        <f>IF(_xlfn.XLOOKUP($C72,ALL!$C$2:$C$341,ALL!F$2:F$341)&lt;&gt;"",_xlfn.XLOOKUP($C72,ALL!$C$2:$C$341,ALL!F$2:F$341),"")</f>
        <v/>
      </c>
      <c r="F72" s="69" t="str">
        <f>IF(_xlfn.XLOOKUP($C72,ALL!$C$2:$C$341,ALL!G$2:G$341)&lt;&gt;"",_xlfn.XLOOKUP($C72,ALL!$C$2:$C$341,ALL!G$2:G$341),"")</f>
        <v/>
      </c>
      <c r="G72" s="70" t="str">
        <f>IF(_xlfn.XLOOKUP($C72,ALL!$C$2:$C$341,ALL!H$2:H$341)&lt;&gt;"",_xlfn.XLOOKUP($C72,ALL!$C$2:$C$341,ALL!H$2:H$341),"")</f>
        <v/>
      </c>
      <c r="H72" s="69" t="str">
        <f>IF(_xlfn.XLOOKUP($C72,ALL!$C$2:$C$341,ALL!I$2:I$341)&lt;&gt;"",_xlfn.XLOOKUP($C72,ALL!$C$2:$C$341,ALL!I$2:I$341),"")</f>
        <v/>
      </c>
      <c r="I72" s="69" t="str">
        <f>IF(_xlfn.XLOOKUP($C72,ALL!$C$2:$C$341,ALL!J$2:J$341)&lt;&gt;"",_xlfn.XLOOKUP($C72,ALL!$C$2:$C$341,ALL!J$2:J$341),"")</f>
        <v/>
      </c>
      <c r="J72" s="70" t="str">
        <f>IF(_xlfn.XLOOKUP($C72,ALL!$C$2:$C$341,ALL!K$2:K$341)&lt;&gt;"",_xlfn.XLOOKUP($C72,ALL!$C$2:$C$341,ALL!K$2:K$341),"")</f>
        <v/>
      </c>
      <c r="K72" s="4" t="str">
        <f>IF(_xlfn.XLOOKUP($C72,ALL!$C$2:$C$341,ALL!L$2:L$341)&lt;&gt;"",_xlfn.XLOOKUP($C72,ALL!$C$2:$C$341,ALL!L$2:L$341),"")</f>
        <v/>
      </c>
      <c r="L72" s="4" t="str">
        <f>IF(_xlfn.XLOOKUP($C72,ALL!$C$2:$C$341,ALL!M$2:M$341)&lt;&gt;"",_xlfn.XLOOKUP($C72,ALL!$C$2:$C$341,ALL!M$2:M$341),"")</f>
        <v/>
      </c>
      <c r="M72" s="4" t="str">
        <f>IF(_xlfn.XLOOKUP($C72,ALL!$C$2:$C$341,ALL!N$2:N$341)&lt;&gt;"",_xlfn.XLOOKUP($C72,ALL!$C$2:$C$341,ALL!N$2:N$341),"")</f>
        <v/>
      </c>
    </row>
    <row r="73" spans="1:13" ht="19.2" customHeight="1" x14ac:dyDescent="0.3">
      <c r="A73" s="100" t="str">
        <f t="shared" si="0"/>
        <v/>
      </c>
      <c r="B73" s="94" t="str">
        <f>IF(_xlfn.XLOOKUP($C73,ALL!$C$2:$C$341,ALL!B$2:B$341)&lt;&gt;"",_xlfn.XLOOKUP($C73,ALL!$C$2:$C$341,ALL!B$2:B$341),"")</f>
        <v/>
      </c>
      <c r="D73" s="69" t="str">
        <f>IF(_xlfn.XLOOKUP($C73,ALL!$C$2:$C$341,ALL!D$2:D$341)&lt;&gt;"",_xlfn.XLOOKUP($C73,ALL!$C$2:$C$341,ALL!D$2:D$341),"")</f>
        <v/>
      </c>
      <c r="E73" s="69" t="str">
        <f>IF(_xlfn.XLOOKUP($C73,ALL!$C$2:$C$341,ALL!F$2:F$341)&lt;&gt;"",_xlfn.XLOOKUP($C73,ALL!$C$2:$C$341,ALL!F$2:F$341),"")</f>
        <v/>
      </c>
      <c r="F73" s="69" t="str">
        <f>IF(_xlfn.XLOOKUP($C73,ALL!$C$2:$C$341,ALL!G$2:G$341)&lt;&gt;"",_xlfn.XLOOKUP($C73,ALL!$C$2:$C$341,ALL!G$2:G$341),"")</f>
        <v/>
      </c>
      <c r="G73" s="70" t="str">
        <f>IF(_xlfn.XLOOKUP($C73,ALL!$C$2:$C$341,ALL!H$2:H$341)&lt;&gt;"",_xlfn.XLOOKUP($C73,ALL!$C$2:$C$341,ALL!H$2:H$341),"")</f>
        <v/>
      </c>
      <c r="H73" s="69" t="str">
        <f>IF(_xlfn.XLOOKUP($C73,ALL!$C$2:$C$341,ALL!I$2:I$341)&lt;&gt;"",_xlfn.XLOOKUP($C73,ALL!$C$2:$C$341,ALL!I$2:I$341),"")</f>
        <v/>
      </c>
      <c r="I73" s="69" t="str">
        <f>IF(_xlfn.XLOOKUP($C73,ALL!$C$2:$C$341,ALL!J$2:J$341)&lt;&gt;"",_xlfn.XLOOKUP($C73,ALL!$C$2:$C$341,ALL!J$2:J$341),"")</f>
        <v/>
      </c>
      <c r="J73" s="70" t="str">
        <f>IF(_xlfn.XLOOKUP($C73,ALL!$C$2:$C$341,ALL!K$2:K$341)&lt;&gt;"",_xlfn.XLOOKUP($C73,ALL!$C$2:$C$341,ALL!K$2:K$341),"")</f>
        <v/>
      </c>
      <c r="K73" s="4" t="str">
        <f>IF(_xlfn.XLOOKUP($C73,ALL!$C$2:$C$341,ALL!L$2:L$341)&lt;&gt;"",_xlfn.XLOOKUP($C73,ALL!$C$2:$C$341,ALL!L$2:L$341),"")</f>
        <v/>
      </c>
      <c r="L73" s="4" t="str">
        <f>IF(_xlfn.XLOOKUP($C73,ALL!$C$2:$C$341,ALL!M$2:M$341)&lt;&gt;"",_xlfn.XLOOKUP($C73,ALL!$C$2:$C$341,ALL!M$2:M$341),"")</f>
        <v/>
      </c>
      <c r="M73" s="4" t="str">
        <f>IF(_xlfn.XLOOKUP($C73,ALL!$C$2:$C$341,ALL!N$2:N$341)&lt;&gt;"",_xlfn.XLOOKUP($C73,ALL!$C$2:$C$341,ALL!N$2:N$341),"")</f>
        <v/>
      </c>
    </row>
    <row r="74" spans="1:13" ht="19.2" customHeight="1" x14ac:dyDescent="0.3">
      <c r="A74" s="100" t="str">
        <f t="shared" si="0"/>
        <v/>
      </c>
      <c r="B74" s="94" t="str">
        <f>IF(_xlfn.XLOOKUP($C74,ALL!$C$2:$C$341,ALL!B$2:B$341)&lt;&gt;"",_xlfn.XLOOKUP($C74,ALL!$C$2:$C$341,ALL!B$2:B$341),"")</f>
        <v/>
      </c>
      <c r="D74" s="69" t="str">
        <f>IF(_xlfn.XLOOKUP($C74,ALL!$C$2:$C$341,ALL!D$2:D$341)&lt;&gt;"",_xlfn.XLOOKUP($C74,ALL!$C$2:$C$341,ALL!D$2:D$341),"")</f>
        <v/>
      </c>
      <c r="E74" s="69" t="str">
        <f>IF(_xlfn.XLOOKUP($C74,ALL!$C$2:$C$341,ALL!F$2:F$341)&lt;&gt;"",_xlfn.XLOOKUP($C74,ALL!$C$2:$C$341,ALL!F$2:F$341),"")</f>
        <v/>
      </c>
      <c r="F74" s="69" t="str">
        <f>IF(_xlfn.XLOOKUP($C74,ALL!$C$2:$C$341,ALL!G$2:G$341)&lt;&gt;"",_xlfn.XLOOKUP($C74,ALL!$C$2:$C$341,ALL!G$2:G$341),"")</f>
        <v/>
      </c>
      <c r="G74" s="70" t="str">
        <f>IF(_xlfn.XLOOKUP($C74,ALL!$C$2:$C$341,ALL!H$2:H$341)&lt;&gt;"",_xlfn.XLOOKUP($C74,ALL!$C$2:$C$341,ALL!H$2:H$341),"")</f>
        <v/>
      </c>
      <c r="H74" s="69" t="str">
        <f>IF(_xlfn.XLOOKUP($C74,ALL!$C$2:$C$341,ALL!I$2:I$341)&lt;&gt;"",_xlfn.XLOOKUP($C74,ALL!$C$2:$C$341,ALL!I$2:I$341),"")</f>
        <v/>
      </c>
      <c r="I74" s="69" t="str">
        <f>IF(_xlfn.XLOOKUP($C74,ALL!$C$2:$C$341,ALL!J$2:J$341)&lt;&gt;"",_xlfn.XLOOKUP($C74,ALL!$C$2:$C$341,ALL!J$2:J$341),"")</f>
        <v/>
      </c>
      <c r="J74" s="70" t="str">
        <f>IF(_xlfn.XLOOKUP($C74,ALL!$C$2:$C$341,ALL!K$2:K$341)&lt;&gt;"",_xlfn.XLOOKUP($C74,ALL!$C$2:$C$341,ALL!K$2:K$341),"")</f>
        <v/>
      </c>
      <c r="K74" s="4" t="str">
        <f>IF(_xlfn.XLOOKUP($C74,ALL!$C$2:$C$341,ALL!L$2:L$341)&lt;&gt;"",_xlfn.XLOOKUP($C74,ALL!$C$2:$C$341,ALL!L$2:L$341),"")</f>
        <v/>
      </c>
      <c r="L74" s="4" t="str">
        <f>IF(_xlfn.XLOOKUP($C74,ALL!$C$2:$C$341,ALL!M$2:M$341)&lt;&gt;"",_xlfn.XLOOKUP($C74,ALL!$C$2:$C$341,ALL!M$2:M$341),"")</f>
        <v/>
      </c>
      <c r="M74" s="4" t="str">
        <f>IF(_xlfn.XLOOKUP($C74,ALL!$C$2:$C$341,ALL!N$2:N$341)&lt;&gt;"",_xlfn.XLOOKUP($C74,ALL!$C$2:$C$341,ALL!N$2:N$341),"")</f>
        <v/>
      </c>
    </row>
    <row r="75" spans="1:13" ht="19.2" customHeight="1" x14ac:dyDescent="0.3">
      <c r="A75" s="100" t="str">
        <f t="shared" si="0"/>
        <v/>
      </c>
      <c r="B75" s="94" t="str">
        <f>IF(_xlfn.XLOOKUP($C75,ALL!$C$2:$C$341,ALL!B$2:B$341)&lt;&gt;"",_xlfn.XLOOKUP($C75,ALL!$C$2:$C$341,ALL!B$2:B$341),"")</f>
        <v/>
      </c>
      <c r="D75" s="69" t="str">
        <f>IF(_xlfn.XLOOKUP($C75,ALL!$C$2:$C$341,ALL!D$2:D$341)&lt;&gt;"",_xlfn.XLOOKUP($C75,ALL!$C$2:$C$341,ALL!D$2:D$341),"")</f>
        <v/>
      </c>
      <c r="E75" s="69" t="str">
        <f>IF(_xlfn.XLOOKUP($C75,ALL!$C$2:$C$341,ALL!F$2:F$341)&lt;&gt;"",_xlfn.XLOOKUP($C75,ALL!$C$2:$C$341,ALL!F$2:F$341),"")</f>
        <v/>
      </c>
      <c r="F75" s="69" t="str">
        <f>IF(_xlfn.XLOOKUP($C75,ALL!$C$2:$C$341,ALL!G$2:G$341)&lt;&gt;"",_xlfn.XLOOKUP($C75,ALL!$C$2:$C$341,ALL!G$2:G$341),"")</f>
        <v/>
      </c>
      <c r="G75" s="70" t="str">
        <f>IF(_xlfn.XLOOKUP($C75,ALL!$C$2:$C$341,ALL!H$2:H$341)&lt;&gt;"",_xlfn.XLOOKUP($C75,ALL!$C$2:$C$341,ALL!H$2:H$341),"")</f>
        <v/>
      </c>
      <c r="H75" s="69" t="str">
        <f>IF(_xlfn.XLOOKUP($C75,ALL!$C$2:$C$341,ALL!I$2:I$341)&lt;&gt;"",_xlfn.XLOOKUP($C75,ALL!$C$2:$C$341,ALL!I$2:I$341),"")</f>
        <v/>
      </c>
      <c r="I75" s="69" t="str">
        <f>IF(_xlfn.XLOOKUP($C75,ALL!$C$2:$C$341,ALL!J$2:J$341)&lt;&gt;"",_xlfn.XLOOKUP($C75,ALL!$C$2:$C$341,ALL!J$2:J$341),"")</f>
        <v/>
      </c>
      <c r="J75" s="70" t="str">
        <f>IF(_xlfn.XLOOKUP($C75,ALL!$C$2:$C$341,ALL!K$2:K$341)&lt;&gt;"",_xlfn.XLOOKUP($C75,ALL!$C$2:$C$341,ALL!K$2:K$341),"")</f>
        <v/>
      </c>
      <c r="K75" s="4" t="str">
        <f>IF(_xlfn.XLOOKUP($C75,ALL!$C$2:$C$341,ALL!L$2:L$341)&lt;&gt;"",_xlfn.XLOOKUP($C75,ALL!$C$2:$C$341,ALL!L$2:L$341),"")</f>
        <v/>
      </c>
      <c r="L75" s="4" t="str">
        <f>IF(_xlfn.XLOOKUP($C75,ALL!$C$2:$C$341,ALL!M$2:M$341)&lt;&gt;"",_xlfn.XLOOKUP($C75,ALL!$C$2:$C$341,ALL!M$2:M$341),"")</f>
        <v/>
      </c>
      <c r="M75" s="4" t="str">
        <f>IF(_xlfn.XLOOKUP($C75,ALL!$C$2:$C$341,ALL!N$2:N$341)&lt;&gt;"",_xlfn.XLOOKUP($C75,ALL!$C$2:$C$341,ALL!N$2:N$341),"")</f>
        <v/>
      </c>
    </row>
    <row r="76" spans="1:13" ht="19.2" customHeight="1" x14ac:dyDescent="0.3">
      <c r="A76" s="100" t="str">
        <f t="shared" ref="A76:A107" si="1">IF(C76="","",($A$1-G76)-365)</f>
        <v/>
      </c>
      <c r="B76" s="94" t="str">
        <f>IF(_xlfn.XLOOKUP($C76,ALL!$C$2:$C$341,ALL!B$2:B$341)&lt;&gt;"",_xlfn.XLOOKUP($C76,ALL!$C$2:$C$341,ALL!B$2:B$341),"")</f>
        <v/>
      </c>
      <c r="D76" s="69" t="str">
        <f>IF(_xlfn.XLOOKUP($C76,ALL!$C$2:$C$341,ALL!D$2:D$341)&lt;&gt;"",_xlfn.XLOOKUP($C76,ALL!$C$2:$C$341,ALL!D$2:D$341),"")</f>
        <v/>
      </c>
      <c r="E76" s="69" t="str">
        <f>IF(_xlfn.XLOOKUP($C76,ALL!$C$2:$C$341,ALL!F$2:F$341)&lt;&gt;"",_xlfn.XLOOKUP($C76,ALL!$C$2:$C$341,ALL!F$2:F$341),"")</f>
        <v/>
      </c>
      <c r="F76" s="69" t="str">
        <f>IF(_xlfn.XLOOKUP($C76,ALL!$C$2:$C$341,ALL!G$2:G$341)&lt;&gt;"",_xlfn.XLOOKUP($C76,ALL!$C$2:$C$341,ALL!G$2:G$341),"")</f>
        <v/>
      </c>
      <c r="G76" s="70" t="str">
        <f>IF(_xlfn.XLOOKUP($C76,ALL!$C$2:$C$341,ALL!H$2:H$341)&lt;&gt;"",_xlfn.XLOOKUP($C76,ALL!$C$2:$C$341,ALL!H$2:H$341),"")</f>
        <v/>
      </c>
      <c r="H76" s="69" t="str">
        <f>IF(_xlfn.XLOOKUP($C76,ALL!$C$2:$C$341,ALL!I$2:I$341)&lt;&gt;"",_xlfn.XLOOKUP($C76,ALL!$C$2:$C$341,ALL!I$2:I$341),"")</f>
        <v/>
      </c>
      <c r="I76" s="69" t="str">
        <f>IF(_xlfn.XLOOKUP($C76,ALL!$C$2:$C$341,ALL!J$2:J$341)&lt;&gt;"",_xlfn.XLOOKUP($C76,ALL!$C$2:$C$341,ALL!J$2:J$341),"")</f>
        <v/>
      </c>
      <c r="J76" s="70" t="str">
        <f>IF(_xlfn.XLOOKUP($C76,ALL!$C$2:$C$341,ALL!K$2:K$341)&lt;&gt;"",_xlfn.XLOOKUP($C76,ALL!$C$2:$C$341,ALL!K$2:K$341),"")</f>
        <v/>
      </c>
      <c r="K76" s="4" t="str">
        <f>IF(_xlfn.XLOOKUP($C76,ALL!$C$2:$C$341,ALL!L$2:L$341)&lt;&gt;"",_xlfn.XLOOKUP($C76,ALL!$C$2:$C$341,ALL!L$2:L$341),"")</f>
        <v/>
      </c>
      <c r="L76" s="4" t="str">
        <f>IF(_xlfn.XLOOKUP($C76,ALL!$C$2:$C$341,ALL!M$2:M$341)&lt;&gt;"",_xlfn.XLOOKUP($C76,ALL!$C$2:$C$341,ALL!M$2:M$341),"")</f>
        <v/>
      </c>
      <c r="M76" s="4" t="str">
        <f>IF(_xlfn.XLOOKUP($C76,ALL!$C$2:$C$341,ALL!N$2:N$341)&lt;&gt;"",_xlfn.XLOOKUP($C76,ALL!$C$2:$C$341,ALL!N$2:N$341),"")</f>
        <v/>
      </c>
    </row>
    <row r="77" spans="1:13" ht="19.2" customHeight="1" x14ac:dyDescent="0.3">
      <c r="A77" s="100" t="str">
        <f t="shared" si="1"/>
        <v/>
      </c>
      <c r="B77" s="94" t="str">
        <f>IF(_xlfn.XLOOKUP($C77,ALL!$C$2:$C$341,ALL!B$2:B$341)&lt;&gt;"",_xlfn.XLOOKUP($C77,ALL!$C$2:$C$341,ALL!B$2:B$341),"")</f>
        <v/>
      </c>
      <c r="D77" s="69" t="str">
        <f>IF(_xlfn.XLOOKUP($C77,ALL!$C$2:$C$341,ALL!D$2:D$341)&lt;&gt;"",_xlfn.XLOOKUP($C77,ALL!$C$2:$C$341,ALL!D$2:D$341),"")</f>
        <v/>
      </c>
      <c r="E77" s="69" t="str">
        <f>IF(_xlfn.XLOOKUP($C77,ALL!$C$2:$C$341,ALL!F$2:F$341)&lt;&gt;"",_xlfn.XLOOKUP($C77,ALL!$C$2:$C$341,ALL!F$2:F$341),"")</f>
        <v/>
      </c>
      <c r="F77" s="69" t="str">
        <f>IF(_xlfn.XLOOKUP($C77,ALL!$C$2:$C$341,ALL!G$2:G$341)&lt;&gt;"",_xlfn.XLOOKUP($C77,ALL!$C$2:$C$341,ALL!G$2:G$341),"")</f>
        <v/>
      </c>
      <c r="G77" s="70" t="str">
        <f>IF(_xlfn.XLOOKUP($C77,ALL!$C$2:$C$341,ALL!H$2:H$341)&lt;&gt;"",_xlfn.XLOOKUP($C77,ALL!$C$2:$C$341,ALL!H$2:H$341),"")</f>
        <v/>
      </c>
      <c r="H77" s="69" t="str">
        <f>IF(_xlfn.XLOOKUP($C77,ALL!$C$2:$C$341,ALL!I$2:I$341)&lt;&gt;"",_xlfn.XLOOKUP($C77,ALL!$C$2:$C$341,ALL!I$2:I$341),"")</f>
        <v/>
      </c>
      <c r="I77" s="69" t="str">
        <f>IF(_xlfn.XLOOKUP($C77,ALL!$C$2:$C$341,ALL!J$2:J$341)&lt;&gt;"",_xlfn.XLOOKUP($C77,ALL!$C$2:$C$341,ALL!J$2:J$341),"")</f>
        <v/>
      </c>
      <c r="J77" s="70" t="str">
        <f>IF(_xlfn.XLOOKUP($C77,ALL!$C$2:$C$341,ALL!K$2:K$341)&lt;&gt;"",_xlfn.XLOOKUP($C77,ALL!$C$2:$C$341,ALL!K$2:K$341),"")</f>
        <v/>
      </c>
      <c r="K77" s="4" t="str">
        <f>IF(_xlfn.XLOOKUP($C77,ALL!$C$2:$C$341,ALL!L$2:L$341)&lt;&gt;"",_xlfn.XLOOKUP($C77,ALL!$C$2:$C$341,ALL!L$2:L$341),"")</f>
        <v/>
      </c>
      <c r="L77" s="4" t="str">
        <f>IF(_xlfn.XLOOKUP($C77,ALL!$C$2:$C$341,ALL!M$2:M$341)&lt;&gt;"",_xlfn.XLOOKUP($C77,ALL!$C$2:$C$341,ALL!M$2:M$341),"")</f>
        <v/>
      </c>
      <c r="M77" s="4" t="str">
        <f>IF(_xlfn.XLOOKUP($C77,ALL!$C$2:$C$341,ALL!N$2:N$341)&lt;&gt;"",_xlfn.XLOOKUP($C77,ALL!$C$2:$C$341,ALL!N$2:N$341),"")</f>
        <v/>
      </c>
    </row>
    <row r="78" spans="1:13" ht="19.2" customHeight="1" x14ac:dyDescent="0.3">
      <c r="A78" s="100" t="str">
        <f t="shared" si="1"/>
        <v/>
      </c>
      <c r="B78" s="94" t="str">
        <f>IF(_xlfn.XLOOKUP($C78,ALL!$C$2:$C$341,ALL!B$2:B$341)&lt;&gt;"",_xlfn.XLOOKUP($C78,ALL!$C$2:$C$341,ALL!B$2:B$341),"")</f>
        <v/>
      </c>
      <c r="D78" s="69" t="str">
        <f>IF(_xlfn.XLOOKUP($C78,ALL!$C$2:$C$341,ALL!D$2:D$341)&lt;&gt;"",_xlfn.XLOOKUP($C78,ALL!$C$2:$C$341,ALL!D$2:D$341),"")</f>
        <v/>
      </c>
      <c r="E78" s="69" t="str">
        <f>IF(_xlfn.XLOOKUP($C78,ALL!$C$2:$C$341,ALL!F$2:F$341)&lt;&gt;"",_xlfn.XLOOKUP($C78,ALL!$C$2:$C$341,ALL!F$2:F$341),"")</f>
        <v/>
      </c>
      <c r="F78" s="69" t="str">
        <f>IF(_xlfn.XLOOKUP($C78,ALL!$C$2:$C$341,ALL!G$2:G$341)&lt;&gt;"",_xlfn.XLOOKUP($C78,ALL!$C$2:$C$341,ALL!G$2:G$341),"")</f>
        <v/>
      </c>
      <c r="G78" s="70" t="str">
        <f>IF(_xlfn.XLOOKUP($C78,ALL!$C$2:$C$341,ALL!H$2:H$341)&lt;&gt;"",_xlfn.XLOOKUP($C78,ALL!$C$2:$C$341,ALL!H$2:H$341),"")</f>
        <v/>
      </c>
      <c r="H78" s="69" t="str">
        <f>IF(_xlfn.XLOOKUP($C78,ALL!$C$2:$C$341,ALL!I$2:I$341)&lt;&gt;"",_xlfn.XLOOKUP($C78,ALL!$C$2:$C$341,ALL!I$2:I$341),"")</f>
        <v/>
      </c>
      <c r="I78" s="69" t="str">
        <f>IF(_xlfn.XLOOKUP($C78,ALL!$C$2:$C$341,ALL!J$2:J$341)&lt;&gt;"",_xlfn.XLOOKUP($C78,ALL!$C$2:$C$341,ALL!J$2:J$341),"")</f>
        <v/>
      </c>
      <c r="J78" s="70" t="str">
        <f>IF(_xlfn.XLOOKUP($C78,ALL!$C$2:$C$341,ALL!K$2:K$341)&lt;&gt;"",_xlfn.XLOOKUP($C78,ALL!$C$2:$C$341,ALL!K$2:K$341),"")</f>
        <v/>
      </c>
      <c r="K78" s="4" t="str">
        <f>IF(_xlfn.XLOOKUP($C78,ALL!$C$2:$C$341,ALL!L$2:L$341)&lt;&gt;"",_xlfn.XLOOKUP($C78,ALL!$C$2:$C$341,ALL!L$2:L$341),"")</f>
        <v/>
      </c>
      <c r="L78" s="4" t="str">
        <f>IF(_xlfn.XLOOKUP($C78,ALL!$C$2:$C$341,ALL!M$2:M$341)&lt;&gt;"",_xlfn.XLOOKUP($C78,ALL!$C$2:$C$341,ALL!M$2:M$341),"")</f>
        <v/>
      </c>
      <c r="M78" s="4" t="str">
        <f>IF(_xlfn.XLOOKUP($C78,ALL!$C$2:$C$341,ALL!N$2:N$341)&lt;&gt;"",_xlfn.XLOOKUP($C78,ALL!$C$2:$C$341,ALL!N$2:N$341),"")</f>
        <v/>
      </c>
    </row>
    <row r="79" spans="1:13" ht="19.2" customHeight="1" x14ac:dyDescent="0.3">
      <c r="A79" s="100" t="str">
        <f t="shared" si="1"/>
        <v/>
      </c>
      <c r="B79" s="94" t="str">
        <f>IF(_xlfn.XLOOKUP($C79,ALL!$C$2:$C$341,ALL!B$2:B$341)&lt;&gt;"",_xlfn.XLOOKUP($C79,ALL!$C$2:$C$341,ALL!B$2:B$341),"")</f>
        <v/>
      </c>
      <c r="D79" s="69" t="str">
        <f>IF(_xlfn.XLOOKUP($C79,ALL!$C$2:$C$341,ALL!D$2:D$341)&lt;&gt;"",_xlfn.XLOOKUP($C79,ALL!$C$2:$C$341,ALL!D$2:D$341),"")</f>
        <v/>
      </c>
      <c r="E79" s="69" t="str">
        <f>IF(_xlfn.XLOOKUP($C79,ALL!$C$2:$C$341,ALL!F$2:F$341)&lt;&gt;"",_xlfn.XLOOKUP($C79,ALL!$C$2:$C$341,ALL!F$2:F$341),"")</f>
        <v/>
      </c>
      <c r="F79" s="69" t="str">
        <f>IF(_xlfn.XLOOKUP($C79,ALL!$C$2:$C$341,ALL!G$2:G$341)&lt;&gt;"",_xlfn.XLOOKUP($C79,ALL!$C$2:$C$341,ALL!G$2:G$341),"")</f>
        <v/>
      </c>
      <c r="G79" s="70" t="str">
        <f>IF(_xlfn.XLOOKUP($C79,ALL!$C$2:$C$341,ALL!H$2:H$341)&lt;&gt;"",_xlfn.XLOOKUP($C79,ALL!$C$2:$C$341,ALL!H$2:H$341),"")</f>
        <v/>
      </c>
      <c r="H79" s="69" t="str">
        <f>IF(_xlfn.XLOOKUP($C79,ALL!$C$2:$C$341,ALL!I$2:I$341)&lt;&gt;"",_xlfn.XLOOKUP($C79,ALL!$C$2:$C$341,ALL!I$2:I$341),"")</f>
        <v/>
      </c>
      <c r="I79" s="69" t="str">
        <f>IF(_xlfn.XLOOKUP($C79,ALL!$C$2:$C$341,ALL!J$2:J$341)&lt;&gt;"",_xlfn.XLOOKUP($C79,ALL!$C$2:$C$341,ALL!J$2:J$341),"")</f>
        <v/>
      </c>
      <c r="J79" s="70" t="str">
        <f>IF(_xlfn.XLOOKUP($C79,ALL!$C$2:$C$341,ALL!K$2:K$341)&lt;&gt;"",_xlfn.XLOOKUP($C79,ALL!$C$2:$C$341,ALL!K$2:K$341),"")</f>
        <v/>
      </c>
      <c r="K79" s="4" t="str">
        <f>IF(_xlfn.XLOOKUP($C79,ALL!$C$2:$C$341,ALL!L$2:L$341)&lt;&gt;"",_xlfn.XLOOKUP($C79,ALL!$C$2:$C$341,ALL!L$2:L$341),"")</f>
        <v/>
      </c>
      <c r="L79" s="4" t="str">
        <f>IF(_xlfn.XLOOKUP($C79,ALL!$C$2:$C$341,ALL!M$2:M$341)&lt;&gt;"",_xlfn.XLOOKUP($C79,ALL!$C$2:$C$341,ALL!M$2:M$341),"")</f>
        <v/>
      </c>
      <c r="M79" s="4" t="str">
        <f>IF(_xlfn.XLOOKUP($C79,ALL!$C$2:$C$341,ALL!N$2:N$341)&lt;&gt;"",_xlfn.XLOOKUP($C79,ALL!$C$2:$C$341,ALL!N$2:N$341),"")</f>
        <v/>
      </c>
    </row>
    <row r="80" spans="1:13" ht="19.2" customHeight="1" x14ac:dyDescent="0.3">
      <c r="A80" s="100" t="str">
        <f t="shared" si="1"/>
        <v/>
      </c>
      <c r="B80" s="94" t="str">
        <f>IF(_xlfn.XLOOKUP($C80,ALL!$C$2:$C$341,ALL!B$2:B$341)&lt;&gt;"",_xlfn.XLOOKUP($C80,ALL!$C$2:$C$341,ALL!B$2:B$341),"")</f>
        <v/>
      </c>
      <c r="D80" s="69" t="str">
        <f>IF(_xlfn.XLOOKUP($C80,ALL!$C$2:$C$341,ALL!D$2:D$341)&lt;&gt;"",_xlfn.XLOOKUP($C80,ALL!$C$2:$C$341,ALL!D$2:D$341),"")</f>
        <v/>
      </c>
      <c r="E80" s="69" t="str">
        <f>IF(_xlfn.XLOOKUP($C80,ALL!$C$2:$C$341,ALL!F$2:F$341)&lt;&gt;"",_xlfn.XLOOKUP($C80,ALL!$C$2:$C$341,ALL!F$2:F$341),"")</f>
        <v/>
      </c>
      <c r="F80" s="69" t="str">
        <f>IF(_xlfn.XLOOKUP($C80,ALL!$C$2:$C$341,ALL!G$2:G$341)&lt;&gt;"",_xlfn.XLOOKUP($C80,ALL!$C$2:$C$341,ALL!G$2:G$341),"")</f>
        <v/>
      </c>
      <c r="G80" s="70" t="str">
        <f>IF(_xlfn.XLOOKUP($C80,ALL!$C$2:$C$341,ALL!H$2:H$341)&lt;&gt;"",_xlfn.XLOOKUP($C80,ALL!$C$2:$C$341,ALL!H$2:H$341),"")</f>
        <v/>
      </c>
      <c r="H80" s="69" t="str">
        <f>IF(_xlfn.XLOOKUP($C80,ALL!$C$2:$C$341,ALL!I$2:I$341)&lt;&gt;"",_xlfn.XLOOKUP($C80,ALL!$C$2:$C$341,ALL!I$2:I$341),"")</f>
        <v/>
      </c>
      <c r="I80" s="69" t="str">
        <f>IF(_xlfn.XLOOKUP($C80,ALL!$C$2:$C$341,ALL!J$2:J$341)&lt;&gt;"",_xlfn.XLOOKUP($C80,ALL!$C$2:$C$341,ALL!J$2:J$341),"")</f>
        <v/>
      </c>
      <c r="J80" s="70" t="str">
        <f>IF(_xlfn.XLOOKUP($C80,ALL!$C$2:$C$341,ALL!K$2:K$341)&lt;&gt;"",_xlfn.XLOOKUP($C80,ALL!$C$2:$C$341,ALL!K$2:K$341),"")</f>
        <v/>
      </c>
      <c r="K80" s="4" t="str">
        <f>IF(_xlfn.XLOOKUP($C80,ALL!$C$2:$C$341,ALL!L$2:L$341)&lt;&gt;"",_xlfn.XLOOKUP($C80,ALL!$C$2:$C$341,ALL!L$2:L$341),"")</f>
        <v/>
      </c>
      <c r="L80" s="4" t="str">
        <f>IF(_xlfn.XLOOKUP($C80,ALL!$C$2:$C$341,ALL!M$2:M$341)&lt;&gt;"",_xlfn.XLOOKUP($C80,ALL!$C$2:$C$341,ALL!M$2:M$341),"")</f>
        <v/>
      </c>
      <c r="M80" s="4" t="str">
        <f>IF(_xlfn.XLOOKUP($C80,ALL!$C$2:$C$341,ALL!N$2:N$341)&lt;&gt;"",_xlfn.XLOOKUP($C80,ALL!$C$2:$C$341,ALL!N$2:N$341),"")</f>
        <v/>
      </c>
    </row>
    <row r="81" spans="1:13" ht="19.2" customHeight="1" x14ac:dyDescent="0.3">
      <c r="A81" s="100" t="str">
        <f t="shared" si="1"/>
        <v/>
      </c>
      <c r="B81" s="94" t="str">
        <f>IF(_xlfn.XLOOKUP($C81,ALL!$C$2:$C$341,ALL!B$2:B$341)&lt;&gt;"",_xlfn.XLOOKUP($C81,ALL!$C$2:$C$341,ALL!B$2:B$341),"")</f>
        <v/>
      </c>
      <c r="D81" s="69" t="str">
        <f>IF(_xlfn.XLOOKUP($C81,ALL!$C$2:$C$341,ALL!D$2:D$341)&lt;&gt;"",_xlfn.XLOOKUP($C81,ALL!$C$2:$C$341,ALL!D$2:D$341),"")</f>
        <v/>
      </c>
      <c r="E81" s="69" t="str">
        <f>IF(_xlfn.XLOOKUP($C81,ALL!$C$2:$C$341,ALL!F$2:F$341)&lt;&gt;"",_xlfn.XLOOKUP($C81,ALL!$C$2:$C$341,ALL!F$2:F$341),"")</f>
        <v/>
      </c>
      <c r="F81" s="69" t="str">
        <f>IF(_xlfn.XLOOKUP($C81,ALL!$C$2:$C$341,ALL!G$2:G$341)&lt;&gt;"",_xlfn.XLOOKUP($C81,ALL!$C$2:$C$341,ALL!G$2:G$341),"")</f>
        <v/>
      </c>
      <c r="G81" s="70" t="str">
        <f>IF(_xlfn.XLOOKUP($C81,ALL!$C$2:$C$341,ALL!H$2:H$341)&lt;&gt;"",_xlfn.XLOOKUP($C81,ALL!$C$2:$C$341,ALL!H$2:H$341),"")</f>
        <v/>
      </c>
      <c r="H81" s="69" t="str">
        <f>IF(_xlfn.XLOOKUP($C81,ALL!$C$2:$C$341,ALL!I$2:I$341)&lt;&gt;"",_xlfn.XLOOKUP($C81,ALL!$C$2:$C$341,ALL!I$2:I$341),"")</f>
        <v/>
      </c>
      <c r="I81" s="69" t="str">
        <f>IF(_xlfn.XLOOKUP($C81,ALL!$C$2:$C$341,ALL!J$2:J$341)&lt;&gt;"",_xlfn.XLOOKUP($C81,ALL!$C$2:$C$341,ALL!J$2:J$341),"")</f>
        <v/>
      </c>
      <c r="J81" s="70" t="str">
        <f>IF(_xlfn.XLOOKUP($C81,ALL!$C$2:$C$341,ALL!K$2:K$341)&lt;&gt;"",_xlfn.XLOOKUP($C81,ALL!$C$2:$C$341,ALL!K$2:K$341),"")</f>
        <v/>
      </c>
      <c r="K81" s="4" t="str">
        <f>IF(_xlfn.XLOOKUP($C81,ALL!$C$2:$C$341,ALL!L$2:L$341)&lt;&gt;"",_xlfn.XLOOKUP($C81,ALL!$C$2:$C$341,ALL!L$2:L$341),"")</f>
        <v/>
      </c>
      <c r="L81" s="4" t="str">
        <f>IF(_xlfn.XLOOKUP($C81,ALL!$C$2:$C$341,ALL!M$2:M$341)&lt;&gt;"",_xlfn.XLOOKUP($C81,ALL!$C$2:$C$341,ALL!M$2:M$341),"")</f>
        <v/>
      </c>
      <c r="M81" s="4" t="str">
        <f>IF(_xlfn.XLOOKUP($C81,ALL!$C$2:$C$341,ALL!N$2:N$341)&lt;&gt;"",_xlfn.XLOOKUP($C81,ALL!$C$2:$C$341,ALL!N$2:N$341),"")</f>
        <v/>
      </c>
    </row>
    <row r="82" spans="1:13" ht="19.2" customHeight="1" x14ac:dyDescent="0.3">
      <c r="A82" s="100" t="str">
        <f t="shared" si="1"/>
        <v/>
      </c>
      <c r="B82" s="94" t="str">
        <f>IF(_xlfn.XLOOKUP($C82,ALL!$C$2:$C$341,ALL!B$2:B$341)&lt;&gt;"",_xlfn.XLOOKUP($C82,ALL!$C$2:$C$341,ALL!B$2:B$341),"")</f>
        <v/>
      </c>
      <c r="D82" s="69" t="str">
        <f>IF(_xlfn.XLOOKUP($C82,ALL!$C$2:$C$341,ALL!D$2:D$341)&lt;&gt;"",_xlfn.XLOOKUP($C82,ALL!$C$2:$C$341,ALL!D$2:D$341),"")</f>
        <v/>
      </c>
      <c r="E82" s="69" t="str">
        <f>IF(_xlfn.XLOOKUP($C82,ALL!$C$2:$C$341,ALL!F$2:F$341)&lt;&gt;"",_xlfn.XLOOKUP($C82,ALL!$C$2:$C$341,ALL!F$2:F$341),"")</f>
        <v/>
      </c>
      <c r="F82" s="69" t="str">
        <f>IF(_xlfn.XLOOKUP($C82,ALL!$C$2:$C$341,ALL!G$2:G$341)&lt;&gt;"",_xlfn.XLOOKUP($C82,ALL!$C$2:$C$341,ALL!G$2:G$341),"")</f>
        <v/>
      </c>
      <c r="G82" s="70" t="str">
        <f>IF(_xlfn.XLOOKUP($C82,ALL!$C$2:$C$341,ALL!H$2:H$341)&lt;&gt;"",_xlfn.XLOOKUP($C82,ALL!$C$2:$C$341,ALL!H$2:H$341),"")</f>
        <v/>
      </c>
      <c r="H82" s="69" t="str">
        <f>IF(_xlfn.XLOOKUP($C82,ALL!$C$2:$C$341,ALL!I$2:I$341)&lt;&gt;"",_xlfn.XLOOKUP($C82,ALL!$C$2:$C$341,ALL!I$2:I$341),"")</f>
        <v/>
      </c>
      <c r="I82" s="69" t="str">
        <f>IF(_xlfn.XLOOKUP($C82,ALL!$C$2:$C$341,ALL!J$2:J$341)&lt;&gt;"",_xlfn.XLOOKUP($C82,ALL!$C$2:$C$341,ALL!J$2:J$341),"")</f>
        <v/>
      </c>
      <c r="J82" s="70" t="str">
        <f>IF(_xlfn.XLOOKUP($C82,ALL!$C$2:$C$341,ALL!K$2:K$341)&lt;&gt;"",_xlfn.XLOOKUP($C82,ALL!$C$2:$C$341,ALL!K$2:K$341),"")</f>
        <v/>
      </c>
      <c r="K82" s="4" t="str">
        <f>IF(_xlfn.XLOOKUP($C82,ALL!$C$2:$C$341,ALL!L$2:L$341)&lt;&gt;"",_xlfn.XLOOKUP($C82,ALL!$C$2:$C$341,ALL!L$2:L$341),"")</f>
        <v/>
      </c>
      <c r="L82" s="4" t="str">
        <f>IF(_xlfn.XLOOKUP($C82,ALL!$C$2:$C$341,ALL!M$2:M$341)&lt;&gt;"",_xlfn.XLOOKUP($C82,ALL!$C$2:$C$341,ALL!M$2:M$341),"")</f>
        <v/>
      </c>
      <c r="M82" s="4" t="str">
        <f>IF(_xlfn.XLOOKUP($C82,ALL!$C$2:$C$341,ALL!N$2:N$341)&lt;&gt;"",_xlfn.XLOOKUP($C82,ALL!$C$2:$C$341,ALL!N$2:N$341),"")</f>
        <v/>
      </c>
    </row>
    <row r="83" spans="1:13" ht="19.2" customHeight="1" x14ac:dyDescent="0.3">
      <c r="A83" s="100" t="str">
        <f t="shared" si="1"/>
        <v/>
      </c>
      <c r="B83" s="94" t="str">
        <f>IF(_xlfn.XLOOKUP($C83,ALL!$C$2:$C$341,ALL!B$2:B$341)&lt;&gt;"",_xlfn.XLOOKUP($C83,ALL!$C$2:$C$341,ALL!B$2:B$341),"")</f>
        <v/>
      </c>
      <c r="D83" s="69" t="str">
        <f>IF(_xlfn.XLOOKUP($C83,ALL!$C$2:$C$341,ALL!D$2:D$341)&lt;&gt;"",_xlfn.XLOOKUP($C83,ALL!$C$2:$C$341,ALL!D$2:D$341),"")</f>
        <v/>
      </c>
      <c r="E83" s="69" t="str">
        <f>IF(_xlfn.XLOOKUP($C83,ALL!$C$2:$C$341,ALL!F$2:F$341)&lt;&gt;"",_xlfn.XLOOKUP($C83,ALL!$C$2:$C$341,ALL!F$2:F$341),"")</f>
        <v/>
      </c>
      <c r="F83" s="69" t="str">
        <f>IF(_xlfn.XLOOKUP($C83,ALL!$C$2:$C$341,ALL!G$2:G$341)&lt;&gt;"",_xlfn.XLOOKUP($C83,ALL!$C$2:$C$341,ALL!G$2:G$341),"")</f>
        <v/>
      </c>
      <c r="G83" s="70" t="str">
        <f>IF(_xlfn.XLOOKUP($C83,ALL!$C$2:$C$341,ALL!H$2:H$341)&lt;&gt;"",_xlfn.XLOOKUP($C83,ALL!$C$2:$C$341,ALL!H$2:H$341),"")</f>
        <v/>
      </c>
      <c r="H83" s="69" t="str">
        <f>IF(_xlfn.XLOOKUP($C83,ALL!$C$2:$C$341,ALL!I$2:I$341)&lt;&gt;"",_xlfn.XLOOKUP($C83,ALL!$C$2:$C$341,ALL!I$2:I$341),"")</f>
        <v/>
      </c>
      <c r="I83" s="69" t="str">
        <f>IF(_xlfn.XLOOKUP($C83,ALL!$C$2:$C$341,ALL!J$2:J$341)&lt;&gt;"",_xlfn.XLOOKUP($C83,ALL!$C$2:$C$341,ALL!J$2:J$341),"")</f>
        <v/>
      </c>
      <c r="J83" s="70" t="str">
        <f>IF(_xlfn.XLOOKUP($C83,ALL!$C$2:$C$341,ALL!K$2:K$341)&lt;&gt;"",_xlfn.XLOOKUP($C83,ALL!$C$2:$C$341,ALL!K$2:K$341),"")</f>
        <v/>
      </c>
      <c r="K83" s="4" t="str">
        <f>IF(_xlfn.XLOOKUP($C83,ALL!$C$2:$C$341,ALL!L$2:L$341)&lt;&gt;"",_xlfn.XLOOKUP($C83,ALL!$C$2:$C$341,ALL!L$2:L$341),"")</f>
        <v/>
      </c>
      <c r="L83" s="4" t="str">
        <f>IF(_xlfn.XLOOKUP($C83,ALL!$C$2:$C$341,ALL!M$2:M$341)&lt;&gt;"",_xlfn.XLOOKUP($C83,ALL!$C$2:$C$341,ALL!M$2:M$341),"")</f>
        <v/>
      </c>
      <c r="M83" s="4" t="str">
        <f>IF(_xlfn.XLOOKUP($C83,ALL!$C$2:$C$341,ALL!N$2:N$341)&lt;&gt;"",_xlfn.XLOOKUP($C83,ALL!$C$2:$C$341,ALL!N$2:N$341),"")</f>
        <v/>
      </c>
    </row>
    <row r="84" spans="1:13" ht="19.2" customHeight="1" x14ac:dyDescent="0.3">
      <c r="A84" s="100" t="str">
        <f t="shared" si="1"/>
        <v/>
      </c>
      <c r="B84" s="94" t="str">
        <f>IF(_xlfn.XLOOKUP($C84,ALL!$C$2:$C$341,ALL!B$2:B$341)&lt;&gt;"",_xlfn.XLOOKUP($C84,ALL!$C$2:$C$341,ALL!B$2:B$341),"")</f>
        <v/>
      </c>
      <c r="D84" s="69" t="str">
        <f>IF(_xlfn.XLOOKUP($C84,ALL!$C$2:$C$341,ALL!D$2:D$341)&lt;&gt;"",_xlfn.XLOOKUP($C84,ALL!$C$2:$C$341,ALL!D$2:D$341),"")</f>
        <v/>
      </c>
      <c r="E84" s="69" t="str">
        <f>IF(_xlfn.XLOOKUP($C84,ALL!$C$2:$C$341,ALL!F$2:F$341)&lt;&gt;"",_xlfn.XLOOKUP($C84,ALL!$C$2:$C$341,ALL!F$2:F$341),"")</f>
        <v/>
      </c>
      <c r="F84" s="69" t="str">
        <f>IF(_xlfn.XLOOKUP($C84,ALL!$C$2:$C$341,ALL!G$2:G$341)&lt;&gt;"",_xlfn.XLOOKUP($C84,ALL!$C$2:$C$341,ALL!G$2:G$341),"")</f>
        <v/>
      </c>
      <c r="G84" s="70" t="str">
        <f>IF(_xlfn.XLOOKUP($C84,ALL!$C$2:$C$341,ALL!H$2:H$341)&lt;&gt;"",_xlfn.XLOOKUP($C84,ALL!$C$2:$C$341,ALL!H$2:H$341),"")</f>
        <v/>
      </c>
      <c r="H84" s="69" t="str">
        <f>IF(_xlfn.XLOOKUP($C84,ALL!$C$2:$C$341,ALL!I$2:I$341)&lt;&gt;"",_xlfn.XLOOKUP($C84,ALL!$C$2:$C$341,ALL!I$2:I$341),"")</f>
        <v/>
      </c>
      <c r="I84" s="69" t="str">
        <f>IF(_xlfn.XLOOKUP($C84,ALL!$C$2:$C$341,ALL!J$2:J$341)&lt;&gt;"",_xlfn.XLOOKUP($C84,ALL!$C$2:$C$341,ALL!J$2:J$341),"")</f>
        <v/>
      </c>
      <c r="J84" s="70" t="str">
        <f>IF(_xlfn.XLOOKUP($C84,ALL!$C$2:$C$341,ALL!K$2:K$341)&lt;&gt;"",_xlfn.XLOOKUP($C84,ALL!$C$2:$C$341,ALL!K$2:K$341),"")</f>
        <v/>
      </c>
      <c r="K84" s="4" t="str">
        <f>IF(_xlfn.XLOOKUP($C84,ALL!$C$2:$C$341,ALL!L$2:L$341)&lt;&gt;"",_xlfn.XLOOKUP($C84,ALL!$C$2:$C$341,ALL!L$2:L$341),"")</f>
        <v/>
      </c>
      <c r="L84" s="4" t="str">
        <f>IF(_xlfn.XLOOKUP($C84,ALL!$C$2:$C$341,ALL!M$2:M$341)&lt;&gt;"",_xlfn.XLOOKUP($C84,ALL!$C$2:$C$341,ALL!M$2:M$341),"")</f>
        <v/>
      </c>
      <c r="M84" s="4" t="str">
        <f>IF(_xlfn.XLOOKUP($C84,ALL!$C$2:$C$341,ALL!N$2:N$341)&lt;&gt;"",_xlfn.XLOOKUP($C84,ALL!$C$2:$C$341,ALL!N$2:N$341),"")</f>
        <v/>
      </c>
    </row>
    <row r="85" spans="1:13" ht="19.2" customHeight="1" x14ac:dyDescent="0.3">
      <c r="A85" s="100" t="str">
        <f t="shared" si="1"/>
        <v/>
      </c>
      <c r="B85" s="94" t="str">
        <f>IF(_xlfn.XLOOKUP($C85,ALL!$C$2:$C$341,ALL!B$2:B$341)&lt;&gt;"",_xlfn.XLOOKUP($C85,ALL!$C$2:$C$341,ALL!B$2:B$341),"")</f>
        <v/>
      </c>
      <c r="D85" s="69" t="str">
        <f>IF(_xlfn.XLOOKUP($C85,ALL!$C$2:$C$341,ALL!D$2:D$341)&lt;&gt;"",_xlfn.XLOOKUP($C85,ALL!$C$2:$C$341,ALL!D$2:D$341),"")</f>
        <v/>
      </c>
      <c r="E85" s="69" t="str">
        <f>IF(_xlfn.XLOOKUP($C85,ALL!$C$2:$C$341,ALL!F$2:F$341)&lt;&gt;"",_xlfn.XLOOKUP($C85,ALL!$C$2:$C$341,ALL!F$2:F$341),"")</f>
        <v/>
      </c>
      <c r="F85" s="69" t="str">
        <f>IF(_xlfn.XLOOKUP($C85,ALL!$C$2:$C$341,ALL!G$2:G$341)&lt;&gt;"",_xlfn.XLOOKUP($C85,ALL!$C$2:$C$341,ALL!G$2:G$341),"")</f>
        <v/>
      </c>
      <c r="G85" s="70" t="str">
        <f>IF(_xlfn.XLOOKUP($C85,ALL!$C$2:$C$341,ALL!H$2:H$341)&lt;&gt;"",_xlfn.XLOOKUP($C85,ALL!$C$2:$C$341,ALL!H$2:H$341),"")</f>
        <v/>
      </c>
      <c r="H85" s="69" t="str">
        <f>IF(_xlfn.XLOOKUP($C85,ALL!$C$2:$C$341,ALL!I$2:I$341)&lt;&gt;"",_xlfn.XLOOKUP($C85,ALL!$C$2:$C$341,ALL!I$2:I$341),"")</f>
        <v/>
      </c>
      <c r="I85" s="69" t="str">
        <f>IF(_xlfn.XLOOKUP($C85,ALL!$C$2:$C$341,ALL!J$2:J$341)&lt;&gt;"",_xlfn.XLOOKUP($C85,ALL!$C$2:$C$341,ALL!J$2:J$341),"")</f>
        <v/>
      </c>
      <c r="J85" s="70" t="str">
        <f>IF(_xlfn.XLOOKUP($C85,ALL!$C$2:$C$341,ALL!K$2:K$341)&lt;&gt;"",_xlfn.XLOOKUP($C85,ALL!$C$2:$C$341,ALL!K$2:K$341),"")</f>
        <v/>
      </c>
      <c r="K85" s="4" t="str">
        <f>IF(_xlfn.XLOOKUP($C85,ALL!$C$2:$C$341,ALL!L$2:L$341)&lt;&gt;"",_xlfn.XLOOKUP($C85,ALL!$C$2:$C$341,ALL!L$2:L$341),"")</f>
        <v/>
      </c>
      <c r="L85" s="4" t="str">
        <f>IF(_xlfn.XLOOKUP($C85,ALL!$C$2:$C$341,ALL!M$2:M$341)&lt;&gt;"",_xlfn.XLOOKUP($C85,ALL!$C$2:$C$341,ALL!M$2:M$341),"")</f>
        <v/>
      </c>
      <c r="M85" s="4" t="str">
        <f>IF(_xlfn.XLOOKUP($C85,ALL!$C$2:$C$341,ALL!N$2:N$341)&lt;&gt;"",_xlfn.XLOOKUP($C85,ALL!$C$2:$C$341,ALL!N$2:N$341),"")</f>
        <v/>
      </c>
    </row>
    <row r="86" spans="1:13" ht="19.2" customHeight="1" x14ac:dyDescent="0.3">
      <c r="A86" s="100" t="str">
        <f t="shared" si="1"/>
        <v/>
      </c>
      <c r="B86" s="94" t="str">
        <f>IF(_xlfn.XLOOKUP($C86,ALL!$C$2:$C$341,ALL!B$2:B$341)&lt;&gt;"",_xlfn.XLOOKUP($C86,ALL!$C$2:$C$341,ALL!B$2:B$341),"")</f>
        <v/>
      </c>
      <c r="D86" s="69" t="str">
        <f>IF(_xlfn.XLOOKUP($C86,ALL!$C$2:$C$341,ALL!D$2:D$341)&lt;&gt;"",_xlfn.XLOOKUP($C86,ALL!$C$2:$C$341,ALL!D$2:D$341),"")</f>
        <v/>
      </c>
      <c r="E86" s="69" t="str">
        <f>IF(_xlfn.XLOOKUP($C86,ALL!$C$2:$C$341,ALL!F$2:F$341)&lt;&gt;"",_xlfn.XLOOKUP($C86,ALL!$C$2:$C$341,ALL!F$2:F$341),"")</f>
        <v/>
      </c>
      <c r="F86" s="69" t="str">
        <f>IF(_xlfn.XLOOKUP($C86,ALL!$C$2:$C$341,ALL!G$2:G$341)&lt;&gt;"",_xlfn.XLOOKUP($C86,ALL!$C$2:$C$341,ALL!G$2:G$341),"")</f>
        <v/>
      </c>
      <c r="G86" s="70" t="str">
        <f>IF(_xlfn.XLOOKUP($C86,ALL!$C$2:$C$341,ALL!H$2:H$341)&lt;&gt;"",_xlfn.XLOOKUP($C86,ALL!$C$2:$C$341,ALL!H$2:H$341),"")</f>
        <v/>
      </c>
      <c r="H86" s="69" t="str">
        <f>IF(_xlfn.XLOOKUP($C86,ALL!$C$2:$C$341,ALL!I$2:I$341)&lt;&gt;"",_xlfn.XLOOKUP($C86,ALL!$C$2:$C$341,ALL!I$2:I$341),"")</f>
        <v/>
      </c>
      <c r="I86" s="69" t="str">
        <f>IF(_xlfn.XLOOKUP($C86,ALL!$C$2:$C$341,ALL!J$2:J$341)&lt;&gt;"",_xlfn.XLOOKUP($C86,ALL!$C$2:$C$341,ALL!J$2:J$341),"")</f>
        <v/>
      </c>
      <c r="J86" s="70" t="str">
        <f>IF(_xlfn.XLOOKUP($C86,ALL!$C$2:$C$341,ALL!K$2:K$341)&lt;&gt;"",_xlfn.XLOOKUP($C86,ALL!$C$2:$C$341,ALL!K$2:K$341),"")</f>
        <v/>
      </c>
      <c r="K86" s="4" t="str">
        <f>IF(_xlfn.XLOOKUP($C86,ALL!$C$2:$C$341,ALL!L$2:L$341)&lt;&gt;"",_xlfn.XLOOKUP($C86,ALL!$C$2:$C$341,ALL!L$2:L$341),"")</f>
        <v/>
      </c>
      <c r="L86" s="4" t="str">
        <f>IF(_xlfn.XLOOKUP($C86,ALL!$C$2:$C$341,ALL!M$2:M$341)&lt;&gt;"",_xlfn.XLOOKUP($C86,ALL!$C$2:$C$341,ALL!M$2:M$341),"")</f>
        <v/>
      </c>
      <c r="M86" s="4" t="str">
        <f>IF(_xlfn.XLOOKUP($C86,ALL!$C$2:$C$341,ALL!N$2:N$341)&lt;&gt;"",_xlfn.XLOOKUP($C86,ALL!$C$2:$C$341,ALL!N$2:N$341),"")</f>
        <v/>
      </c>
    </row>
    <row r="87" spans="1:13" ht="19.2" customHeight="1" x14ac:dyDescent="0.3">
      <c r="A87" s="100" t="str">
        <f t="shared" si="1"/>
        <v/>
      </c>
      <c r="B87" s="94" t="str">
        <f>IF(_xlfn.XLOOKUP($C87,ALL!$C$2:$C$341,ALL!B$2:B$341)&lt;&gt;"",_xlfn.XLOOKUP($C87,ALL!$C$2:$C$341,ALL!B$2:B$341),"")</f>
        <v/>
      </c>
      <c r="D87" s="69" t="str">
        <f>IF(_xlfn.XLOOKUP($C87,ALL!$C$2:$C$341,ALL!D$2:D$341)&lt;&gt;"",_xlfn.XLOOKUP($C87,ALL!$C$2:$C$341,ALL!D$2:D$341),"")</f>
        <v/>
      </c>
      <c r="E87" s="69" t="str">
        <f>IF(_xlfn.XLOOKUP($C87,ALL!$C$2:$C$341,ALL!F$2:F$341)&lt;&gt;"",_xlfn.XLOOKUP($C87,ALL!$C$2:$C$341,ALL!F$2:F$341),"")</f>
        <v/>
      </c>
      <c r="F87" s="69" t="str">
        <f>IF(_xlfn.XLOOKUP($C87,ALL!$C$2:$C$341,ALL!G$2:G$341)&lt;&gt;"",_xlfn.XLOOKUP($C87,ALL!$C$2:$C$341,ALL!G$2:G$341),"")</f>
        <v/>
      </c>
      <c r="G87" s="70" t="str">
        <f>IF(_xlfn.XLOOKUP($C87,ALL!$C$2:$C$341,ALL!H$2:H$341)&lt;&gt;"",_xlfn.XLOOKUP($C87,ALL!$C$2:$C$341,ALL!H$2:H$341),"")</f>
        <v/>
      </c>
      <c r="H87" s="69" t="str">
        <f>IF(_xlfn.XLOOKUP($C87,ALL!$C$2:$C$341,ALL!I$2:I$341)&lt;&gt;"",_xlfn.XLOOKUP($C87,ALL!$C$2:$C$341,ALL!I$2:I$341),"")</f>
        <v/>
      </c>
      <c r="I87" s="69" t="str">
        <f>IF(_xlfn.XLOOKUP($C87,ALL!$C$2:$C$341,ALL!J$2:J$341)&lt;&gt;"",_xlfn.XLOOKUP($C87,ALL!$C$2:$C$341,ALL!J$2:J$341),"")</f>
        <v/>
      </c>
      <c r="J87" s="70" t="str">
        <f>IF(_xlfn.XLOOKUP($C87,ALL!$C$2:$C$341,ALL!K$2:K$341)&lt;&gt;"",_xlfn.XLOOKUP($C87,ALL!$C$2:$C$341,ALL!K$2:K$341),"")</f>
        <v/>
      </c>
      <c r="K87" s="4" t="str">
        <f>IF(_xlfn.XLOOKUP($C87,ALL!$C$2:$C$341,ALL!L$2:L$341)&lt;&gt;"",_xlfn.XLOOKUP($C87,ALL!$C$2:$C$341,ALL!L$2:L$341),"")</f>
        <v/>
      </c>
      <c r="L87" s="4" t="str">
        <f>IF(_xlfn.XLOOKUP($C87,ALL!$C$2:$C$341,ALL!M$2:M$341)&lt;&gt;"",_xlfn.XLOOKUP($C87,ALL!$C$2:$C$341,ALL!M$2:M$341),"")</f>
        <v/>
      </c>
      <c r="M87" s="4" t="str">
        <f>IF(_xlfn.XLOOKUP($C87,ALL!$C$2:$C$341,ALL!N$2:N$341)&lt;&gt;"",_xlfn.XLOOKUP($C87,ALL!$C$2:$C$341,ALL!N$2:N$341),"")</f>
        <v/>
      </c>
    </row>
    <row r="88" spans="1:13" ht="19.2" customHeight="1" x14ac:dyDescent="0.3">
      <c r="A88" s="100" t="str">
        <f t="shared" si="1"/>
        <v/>
      </c>
      <c r="B88" s="94" t="str">
        <f>IF(_xlfn.XLOOKUP($C88,ALL!$C$2:$C$341,ALL!B$2:B$341)&lt;&gt;"",_xlfn.XLOOKUP($C88,ALL!$C$2:$C$341,ALL!B$2:B$341),"")</f>
        <v/>
      </c>
      <c r="D88" s="69" t="str">
        <f>IF(_xlfn.XLOOKUP($C88,ALL!$C$2:$C$341,ALL!D$2:D$341)&lt;&gt;"",_xlfn.XLOOKUP($C88,ALL!$C$2:$C$341,ALL!D$2:D$341),"")</f>
        <v/>
      </c>
      <c r="E88" s="69" t="str">
        <f>IF(_xlfn.XLOOKUP($C88,ALL!$C$2:$C$341,ALL!F$2:F$341)&lt;&gt;"",_xlfn.XLOOKUP($C88,ALL!$C$2:$C$341,ALL!F$2:F$341),"")</f>
        <v/>
      </c>
      <c r="F88" s="69" t="str">
        <f>IF(_xlfn.XLOOKUP($C88,ALL!$C$2:$C$341,ALL!G$2:G$341)&lt;&gt;"",_xlfn.XLOOKUP($C88,ALL!$C$2:$C$341,ALL!G$2:G$341),"")</f>
        <v/>
      </c>
      <c r="G88" s="70" t="str">
        <f>IF(_xlfn.XLOOKUP($C88,ALL!$C$2:$C$341,ALL!H$2:H$341)&lt;&gt;"",_xlfn.XLOOKUP($C88,ALL!$C$2:$C$341,ALL!H$2:H$341),"")</f>
        <v/>
      </c>
      <c r="H88" s="69" t="str">
        <f>IF(_xlfn.XLOOKUP($C88,ALL!$C$2:$C$341,ALL!I$2:I$341)&lt;&gt;"",_xlfn.XLOOKUP($C88,ALL!$C$2:$C$341,ALL!I$2:I$341),"")</f>
        <v/>
      </c>
      <c r="I88" s="69" t="str">
        <f>IF(_xlfn.XLOOKUP($C88,ALL!$C$2:$C$341,ALL!J$2:J$341)&lt;&gt;"",_xlfn.XLOOKUP($C88,ALL!$C$2:$C$341,ALL!J$2:J$341),"")</f>
        <v/>
      </c>
      <c r="J88" s="70" t="str">
        <f>IF(_xlfn.XLOOKUP($C88,ALL!$C$2:$C$341,ALL!K$2:K$341)&lt;&gt;"",_xlfn.XLOOKUP($C88,ALL!$C$2:$C$341,ALL!K$2:K$341),"")</f>
        <v/>
      </c>
      <c r="K88" s="4" t="str">
        <f>IF(_xlfn.XLOOKUP($C88,ALL!$C$2:$C$341,ALL!L$2:L$341)&lt;&gt;"",_xlfn.XLOOKUP($C88,ALL!$C$2:$C$341,ALL!L$2:L$341),"")</f>
        <v/>
      </c>
      <c r="L88" s="4" t="str">
        <f>IF(_xlfn.XLOOKUP($C88,ALL!$C$2:$C$341,ALL!M$2:M$341)&lt;&gt;"",_xlfn.XLOOKUP($C88,ALL!$C$2:$C$341,ALL!M$2:M$341),"")</f>
        <v/>
      </c>
      <c r="M88" s="4" t="str">
        <f>IF(_xlfn.XLOOKUP($C88,ALL!$C$2:$C$341,ALL!N$2:N$341)&lt;&gt;"",_xlfn.XLOOKUP($C88,ALL!$C$2:$C$341,ALL!N$2:N$341),"")</f>
        <v/>
      </c>
    </row>
    <row r="89" spans="1:13" ht="19.2" customHeight="1" x14ac:dyDescent="0.3">
      <c r="A89" s="100" t="str">
        <f t="shared" si="1"/>
        <v/>
      </c>
      <c r="B89" s="94" t="str">
        <f>IF(_xlfn.XLOOKUP($C89,ALL!$C$2:$C$341,ALL!B$2:B$341)&lt;&gt;"",_xlfn.XLOOKUP($C89,ALL!$C$2:$C$341,ALL!B$2:B$341),"")</f>
        <v/>
      </c>
      <c r="D89" s="69" t="str">
        <f>IF(_xlfn.XLOOKUP($C89,ALL!$C$2:$C$341,ALL!D$2:D$341)&lt;&gt;"",_xlfn.XLOOKUP($C89,ALL!$C$2:$C$341,ALL!D$2:D$341),"")</f>
        <v/>
      </c>
      <c r="E89" s="69" t="str">
        <f>IF(_xlfn.XLOOKUP($C89,ALL!$C$2:$C$341,ALL!F$2:F$341)&lt;&gt;"",_xlfn.XLOOKUP($C89,ALL!$C$2:$C$341,ALL!F$2:F$341),"")</f>
        <v/>
      </c>
      <c r="F89" s="69" t="str">
        <f>IF(_xlfn.XLOOKUP($C89,ALL!$C$2:$C$341,ALL!G$2:G$341)&lt;&gt;"",_xlfn.XLOOKUP($C89,ALL!$C$2:$C$341,ALL!G$2:G$341),"")</f>
        <v/>
      </c>
      <c r="G89" s="70" t="str">
        <f>IF(_xlfn.XLOOKUP($C89,ALL!$C$2:$C$341,ALL!H$2:H$341)&lt;&gt;"",_xlfn.XLOOKUP($C89,ALL!$C$2:$C$341,ALL!H$2:H$341),"")</f>
        <v/>
      </c>
      <c r="H89" s="69" t="str">
        <f>IF(_xlfn.XLOOKUP($C89,ALL!$C$2:$C$341,ALL!I$2:I$341)&lt;&gt;"",_xlfn.XLOOKUP($C89,ALL!$C$2:$C$341,ALL!I$2:I$341),"")</f>
        <v/>
      </c>
      <c r="I89" s="69" t="str">
        <f>IF(_xlfn.XLOOKUP($C89,ALL!$C$2:$C$341,ALL!J$2:J$341)&lt;&gt;"",_xlfn.XLOOKUP($C89,ALL!$C$2:$C$341,ALL!J$2:J$341),"")</f>
        <v/>
      </c>
      <c r="J89" s="70" t="str">
        <f>IF(_xlfn.XLOOKUP($C89,ALL!$C$2:$C$341,ALL!K$2:K$341)&lt;&gt;"",_xlfn.XLOOKUP($C89,ALL!$C$2:$C$341,ALL!K$2:K$341),"")</f>
        <v/>
      </c>
      <c r="K89" s="4" t="str">
        <f>IF(_xlfn.XLOOKUP($C89,ALL!$C$2:$C$341,ALL!L$2:L$341)&lt;&gt;"",_xlfn.XLOOKUP($C89,ALL!$C$2:$C$341,ALL!L$2:L$341),"")</f>
        <v/>
      </c>
      <c r="L89" s="4" t="str">
        <f>IF(_xlfn.XLOOKUP($C89,ALL!$C$2:$C$341,ALL!M$2:M$341)&lt;&gt;"",_xlfn.XLOOKUP($C89,ALL!$C$2:$C$341,ALL!M$2:M$341),"")</f>
        <v/>
      </c>
      <c r="M89" s="4" t="str">
        <f>IF(_xlfn.XLOOKUP($C89,ALL!$C$2:$C$341,ALL!N$2:N$341)&lt;&gt;"",_xlfn.XLOOKUP($C89,ALL!$C$2:$C$341,ALL!N$2:N$341),"")</f>
        <v/>
      </c>
    </row>
    <row r="90" spans="1:13" ht="19.2" customHeight="1" x14ac:dyDescent="0.3">
      <c r="A90" s="100" t="str">
        <f t="shared" si="1"/>
        <v/>
      </c>
      <c r="B90" s="94" t="str">
        <f>IF(_xlfn.XLOOKUP($C90,ALL!$C$2:$C$341,ALL!B$2:B$341)&lt;&gt;"",_xlfn.XLOOKUP($C90,ALL!$C$2:$C$341,ALL!B$2:B$341),"")</f>
        <v/>
      </c>
      <c r="D90" s="69" t="str">
        <f>IF(_xlfn.XLOOKUP($C90,ALL!$C$2:$C$341,ALL!D$2:D$341)&lt;&gt;"",_xlfn.XLOOKUP($C90,ALL!$C$2:$C$341,ALL!D$2:D$341),"")</f>
        <v/>
      </c>
      <c r="E90" s="69" t="str">
        <f>IF(_xlfn.XLOOKUP($C90,ALL!$C$2:$C$341,ALL!F$2:F$341)&lt;&gt;"",_xlfn.XLOOKUP($C90,ALL!$C$2:$C$341,ALL!F$2:F$341),"")</f>
        <v/>
      </c>
      <c r="F90" s="69" t="str">
        <f>IF(_xlfn.XLOOKUP($C90,ALL!$C$2:$C$341,ALL!G$2:G$341)&lt;&gt;"",_xlfn.XLOOKUP($C90,ALL!$C$2:$C$341,ALL!G$2:G$341),"")</f>
        <v/>
      </c>
      <c r="G90" s="70" t="str">
        <f>IF(_xlfn.XLOOKUP($C90,ALL!$C$2:$C$341,ALL!H$2:H$341)&lt;&gt;"",_xlfn.XLOOKUP($C90,ALL!$C$2:$C$341,ALL!H$2:H$341),"")</f>
        <v/>
      </c>
      <c r="H90" s="69" t="str">
        <f>IF(_xlfn.XLOOKUP($C90,ALL!$C$2:$C$341,ALL!I$2:I$341)&lt;&gt;"",_xlfn.XLOOKUP($C90,ALL!$C$2:$C$341,ALL!I$2:I$341),"")</f>
        <v/>
      </c>
      <c r="I90" s="69" t="str">
        <f>IF(_xlfn.XLOOKUP($C90,ALL!$C$2:$C$341,ALL!J$2:J$341)&lt;&gt;"",_xlfn.XLOOKUP($C90,ALL!$C$2:$C$341,ALL!J$2:J$341),"")</f>
        <v/>
      </c>
      <c r="J90" s="70" t="str">
        <f>IF(_xlfn.XLOOKUP($C90,ALL!$C$2:$C$341,ALL!K$2:K$341)&lt;&gt;"",_xlfn.XLOOKUP($C90,ALL!$C$2:$C$341,ALL!K$2:K$341),"")</f>
        <v/>
      </c>
      <c r="K90" s="4" t="str">
        <f>IF(_xlfn.XLOOKUP($C90,ALL!$C$2:$C$341,ALL!L$2:L$341)&lt;&gt;"",_xlfn.XLOOKUP($C90,ALL!$C$2:$C$341,ALL!L$2:L$341),"")</f>
        <v/>
      </c>
      <c r="L90" s="4" t="str">
        <f>IF(_xlfn.XLOOKUP($C90,ALL!$C$2:$C$341,ALL!M$2:M$341)&lt;&gt;"",_xlfn.XLOOKUP($C90,ALL!$C$2:$C$341,ALL!M$2:M$341),"")</f>
        <v/>
      </c>
      <c r="M90" s="4" t="str">
        <f>IF(_xlfn.XLOOKUP($C90,ALL!$C$2:$C$341,ALL!N$2:N$341)&lt;&gt;"",_xlfn.XLOOKUP($C90,ALL!$C$2:$C$341,ALL!N$2:N$341),"")</f>
        <v/>
      </c>
    </row>
    <row r="91" spans="1:13" ht="19.2" customHeight="1" x14ac:dyDescent="0.3">
      <c r="A91" s="100" t="str">
        <f t="shared" si="1"/>
        <v/>
      </c>
      <c r="B91" s="94" t="str">
        <f>IF(_xlfn.XLOOKUP($C91,ALL!$C$2:$C$341,ALL!B$2:B$341)&lt;&gt;"",_xlfn.XLOOKUP($C91,ALL!$C$2:$C$341,ALL!B$2:B$341),"")</f>
        <v/>
      </c>
      <c r="D91" s="69" t="str">
        <f>IF(_xlfn.XLOOKUP($C91,ALL!$C$2:$C$341,ALL!D$2:D$341)&lt;&gt;"",_xlfn.XLOOKUP($C91,ALL!$C$2:$C$341,ALL!D$2:D$341),"")</f>
        <v/>
      </c>
      <c r="E91" s="69" t="str">
        <f>IF(_xlfn.XLOOKUP($C91,ALL!$C$2:$C$341,ALL!F$2:F$341)&lt;&gt;"",_xlfn.XLOOKUP($C91,ALL!$C$2:$C$341,ALL!F$2:F$341),"")</f>
        <v/>
      </c>
      <c r="F91" s="69" t="str">
        <f>IF(_xlfn.XLOOKUP($C91,ALL!$C$2:$C$341,ALL!G$2:G$341)&lt;&gt;"",_xlfn.XLOOKUP($C91,ALL!$C$2:$C$341,ALL!G$2:G$341),"")</f>
        <v/>
      </c>
      <c r="G91" s="70" t="str">
        <f>IF(_xlfn.XLOOKUP($C91,ALL!$C$2:$C$341,ALL!H$2:H$341)&lt;&gt;"",_xlfn.XLOOKUP($C91,ALL!$C$2:$C$341,ALL!H$2:H$341),"")</f>
        <v/>
      </c>
      <c r="H91" s="69" t="str">
        <f>IF(_xlfn.XLOOKUP($C91,ALL!$C$2:$C$341,ALL!I$2:I$341)&lt;&gt;"",_xlfn.XLOOKUP($C91,ALL!$C$2:$C$341,ALL!I$2:I$341),"")</f>
        <v/>
      </c>
      <c r="I91" s="69" t="str">
        <f>IF(_xlfn.XLOOKUP($C91,ALL!$C$2:$C$341,ALL!J$2:J$341)&lt;&gt;"",_xlfn.XLOOKUP($C91,ALL!$C$2:$C$341,ALL!J$2:J$341),"")</f>
        <v/>
      </c>
      <c r="J91" s="70" t="str">
        <f>IF(_xlfn.XLOOKUP($C91,ALL!$C$2:$C$341,ALL!K$2:K$341)&lt;&gt;"",_xlfn.XLOOKUP($C91,ALL!$C$2:$C$341,ALL!K$2:K$341),"")</f>
        <v/>
      </c>
      <c r="K91" s="4" t="str">
        <f>IF(_xlfn.XLOOKUP($C91,ALL!$C$2:$C$341,ALL!L$2:L$341)&lt;&gt;"",_xlfn.XLOOKUP($C91,ALL!$C$2:$C$341,ALL!L$2:L$341),"")</f>
        <v/>
      </c>
      <c r="L91" s="4" t="str">
        <f>IF(_xlfn.XLOOKUP($C91,ALL!$C$2:$C$341,ALL!M$2:M$341)&lt;&gt;"",_xlfn.XLOOKUP($C91,ALL!$C$2:$C$341,ALL!M$2:M$341),"")</f>
        <v/>
      </c>
      <c r="M91" s="4" t="str">
        <f>IF(_xlfn.XLOOKUP($C91,ALL!$C$2:$C$341,ALL!N$2:N$341)&lt;&gt;"",_xlfn.XLOOKUP($C91,ALL!$C$2:$C$341,ALL!N$2:N$341),"")</f>
        <v/>
      </c>
    </row>
    <row r="92" spans="1:13" ht="19.2" customHeight="1" x14ac:dyDescent="0.3">
      <c r="A92" s="100" t="str">
        <f t="shared" si="1"/>
        <v/>
      </c>
      <c r="B92" s="94" t="str">
        <f>IF(_xlfn.XLOOKUP($C92,ALL!$C$2:$C$341,ALL!B$2:B$341)&lt;&gt;"",_xlfn.XLOOKUP($C92,ALL!$C$2:$C$341,ALL!B$2:B$341),"")</f>
        <v/>
      </c>
      <c r="D92" s="69" t="str">
        <f>IF(_xlfn.XLOOKUP($C92,ALL!$C$2:$C$341,ALL!D$2:D$341)&lt;&gt;"",_xlfn.XLOOKUP($C92,ALL!$C$2:$C$341,ALL!D$2:D$341),"")</f>
        <v/>
      </c>
      <c r="E92" s="69" t="str">
        <f>IF(_xlfn.XLOOKUP($C92,ALL!$C$2:$C$341,ALL!F$2:F$341)&lt;&gt;"",_xlfn.XLOOKUP($C92,ALL!$C$2:$C$341,ALL!F$2:F$341),"")</f>
        <v/>
      </c>
      <c r="F92" s="69" t="str">
        <f>IF(_xlfn.XLOOKUP($C92,ALL!$C$2:$C$341,ALL!G$2:G$341)&lt;&gt;"",_xlfn.XLOOKUP($C92,ALL!$C$2:$C$341,ALL!G$2:G$341),"")</f>
        <v/>
      </c>
      <c r="G92" s="70" t="str">
        <f>IF(_xlfn.XLOOKUP($C92,ALL!$C$2:$C$341,ALL!H$2:H$341)&lt;&gt;"",_xlfn.XLOOKUP($C92,ALL!$C$2:$C$341,ALL!H$2:H$341),"")</f>
        <v/>
      </c>
      <c r="H92" s="69" t="str">
        <f>IF(_xlfn.XLOOKUP($C92,ALL!$C$2:$C$341,ALL!I$2:I$341)&lt;&gt;"",_xlfn.XLOOKUP($C92,ALL!$C$2:$C$341,ALL!I$2:I$341),"")</f>
        <v/>
      </c>
      <c r="I92" s="69" t="str">
        <f>IF(_xlfn.XLOOKUP($C92,ALL!$C$2:$C$341,ALL!J$2:J$341)&lt;&gt;"",_xlfn.XLOOKUP($C92,ALL!$C$2:$C$341,ALL!J$2:J$341),"")</f>
        <v/>
      </c>
      <c r="J92" s="70" t="str">
        <f>IF(_xlfn.XLOOKUP($C92,ALL!$C$2:$C$341,ALL!K$2:K$341)&lt;&gt;"",_xlfn.XLOOKUP($C92,ALL!$C$2:$C$341,ALL!K$2:K$341),"")</f>
        <v/>
      </c>
      <c r="K92" s="4" t="str">
        <f>IF(_xlfn.XLOOKUP($C92,ALL!$C$2:$C$341,ALL!L$2:L$341)&lt;&gt;"",_xlfn.XLOOKUP($C92,ALL!$C$2:$C$341,ALL!L$2:L$341),"")</f>
        <v/>
      </c>
      <c r="L92" s="4" t="str">
        <f>IF(_xlfn.XLOOKUP($C92,ALL!$C$2:$C$341,ALL!M$2:M$341)&lt;&gt;"",_xlfn.XLOOKUP($C92,ALL!$C$2:$C$341,ALL!M$2:M$341),"")</f>
        <v/>
      </c>
      <c r="M92" s="4" t="str">
        <f>IF(_xlfn.XLOOKUP($C92,ALL!$C$2:$C$341,ALL!N$2:N$341)&lt;&gt;"",_xlfn.XLOOKUP($C92,ALL!$C$2:$C$341,ALL!N$2:N$341),"")</f>
        <v/>
      </c>
    </row>
    <row r="93" spans="1:13" ht="19.2" customHeight="1" x14ac:dyDescent="0.3">
      <c r="A93" s="100" t="str">
        <f t="shared" si="1"/>
        <v/>
      </c>
      <c r="B93" s="94" t="str">
        <f>IF(_xlfn.XLOOKUP($C93,ALL!$C$2:$C$341,ALL!B$2:B$341)&lt;&gt;"",_xlfn.XLOOKUP($C93,ALL!$C$2:$C$341,ALL!B$2:B$341),"")</f>
        <v/>
      </c>
      <c r="D93" s="69" t="str">
        <f>IF(_xlfn.XLOOKUP($C93,ALL!$C$2:$C$341,ALL!D$2:D$341)&lt;&gt;"",_xlfn.XLOOKUP($C93,ALL!$C$2:$C$341,ALL!D$2:D$341),"")</f>
        <v/>
      </c>
      <c r="E93" s="69" t="str">
        <f>IF(_xlfn.XLOOKUP($C93,ALL!$C$2:$C$341,ALL!F$2:F$341)&lt;&gt;"",_xlfn.XLOOKUP($C93,ALL!$C$2:$C$341,ALL!F$2:F$341),"")</f>
        <v/>
      </c>
      <c r="F93" s="69" t="str">
        <f>IF(_xlfn.XLOOKUP($C93,ALL!$C$2:$C$341,ALL!G$2:G$341)&lt;&gt;"",_xlfn.XLOOKUP($C93,ALL!$C$2:$C$341,ALL!G$2:G$341),"")</f>
        <v/>
      </c>
      <c r="G93" s="70" t="str">
        <f>IF(_xlfn.XLOOKUP($C93,ALL!$C$2:$C$341,ALL!H$2:H$341)&lt;&gt;"",_xlfn.XLOOKUP($C93,ALL!$C$2:$C$341,ALL!H$2:H$341),"")</f>
        <v/>
      </c>
      <c r="H93" s="69" t="str">
        <f>IF(_xlfn.XLOOKUP($C93,ALL!$C$2:$C$341,ALL!I$2:I$341)&lt;&gt;"",_xlfn.XLOOKUP($C93,ALL!$C$2:$C$341,ALL!I$2:I$341),"")</f>
        <v/>
      </c>
      <c r="I93" s="69" t="str">
        <f>IF(_xlfn.XLOOKUP($C93,ALL!$C$2:$C$341,ALL!J$2:J$341)&lt;&gt;"",_xlfn.XLOOKUP($C93,ALL!$C$2:$C$341,ALL!J$2:J$341),"")</f>
        <v/>
      </c>
      <c r="J93" s="70" t="str">
        <f>IF(_xlfn.XLOOKUP($C93,ALL!$C$2:$C$341,ALL!K$2:K$341)&lt;&gt;"",_xlfn.XLOOKUP($C93,ALL!$C$2:$C$341,ALL!K$2:K$341),"")</f>
        <v/>
      </c>
      <c r="K93" s="4" t="str">
        <f>IF(_xlfn.XLOOKUP($C93,ALL!$C$2:$C$341,ALL!L$2:L$341)&lt;&gt;"",_xlfn.XLOOKUP($C93,ALL!$C$2:$C$341,ALL!L$2:L$341),"")</f>
        <v/>
      </c>
      <c r="L93" s="4" t="str">
        <f>IF(_xlfn.XLOOKUP($C93,ALL!$C$2:$C$341,ALL!M$2:M$341)&lt;&gt;"",_xlfn.XLOOKUP($C93,ALL!$C$2:$C$341,ALL!M$2:M$341),"")</f>
        <v/>
      </c>
      <c r="M93" s="4" t="str">
        <f>IF(_xlfn.XLOOKUP($C93,ALL!$C$2:$C$341,ALL!N$2:N$341)&lt;&gt;"",_xlfn.XLOOKUP($C93,ALL!$C$2:$C$341,ALL!N$2:N$341),"")</f>
        <v/>
      </c>
    </row>
    <row r="94" spans="1:13" ht="19.2" customHeight="1" x14ac:dyDescent="0.3">
      <c r="A94" s="100" t="str">
        <f t="shared" si="1"/>
        <v/>
      </c>
      <c r="B94" s="94" t="str">
        <f>IF(_xlfn.XLOOKUP($C94,ALL!$C$2:$C$341,ALL!B$2:B$341)&lt;&gt;"",_xlfn.XLOOKUP($C94,ALL!$C$2:$C$341,ALL!B$2:B$341),"")</f>
        <v/>
      </c>
      <c r="D94" s="69" t="str">
        <f>IF(_xlfn.XLOOKUP($C94,ALL!$C$2:$C$341,ALL!D$2:D$341)&lt;&gt;"",_xlfn.XLOOKUP($C94,ALL!$C$2:$C$341,ALL!D$2:D$341),"")</f>
        <v/>
      </c>
      <c r="E94" s="69" t="str">
        <f>IF(_xlfn.XLOOKUP($C94,ALL!$C$2:$C$341,ALL!F$2:F$341)&lt;&gt;"",_xlfn.XLOOKUP($C94,ALL!$C$2:$C$341,ALL!F$2:F$341),"")</f>
        <v/>
      </c>
      <c r="F94" s="69" t="str">
        <f>IF(_xlfn.XLOOKUP($C94,ALL!$C$2:$C$341,ALL!G$2:G$341)&lt;&gt;"",_xlfn.XLOOKUP($C94,ALL!$C$2:$C$341,ALL!G$2:G$341),"")</f>
        <v/>
      </c>
      <c r="G94" s="70" t="str">
        <f>IF(_xlfn.XLOOKUP($C94,ALL!$C$2:$C$341,ALL!H$2:H$341)&lt;&gt;"",_xlfn.XLOOKUP($C94,ALL!$C$2:$C$341,ALL!H$2:H$341),"")</f>
        <v/>
      </c>
      <c r="H94" s="69" t="str">
        <f>IF(_xlfn.XLOOKUP($C94,ALL!$C$2:$C$341,ALL!I$2:I$341)&lt;&gt;"",_xlfn.XLOOKUP($C94,ALL!$C$2:$C$341,ALL!I$2:I$341),"")</f>
        <v/>
      </c>
      <c r="I94" s="69" t="str">
        <f>IF(_xlfn.XLOOKUP($C94,ALL!$C$2:$C$341,ALL!J$2:J$341)&lt;&gt;"",_xlfn.XLOOKUP($C94,ALL!$C$2:$C$341,ALL!J$2:J$341),"")</f>
        <v/>
      </c>
      <c r="J94" s="70" t="str">
        <f>IF(_xlfn.XLOOKUP($C94,ALL!$C$2:$C$341,ALL!K$2:K$341)&lt;&gt;"",_xlfn.XLOOKUP($C94,ALL!$C$2:$C$341,ALL!K$2:K$341),"")</f>
        <v/>
      </c>
      <c r="K94" s="4" t="str">
        <f>IF(_xlfn.XLOOKUP($C94,ALL!$C$2:$C$341,ALL!L$2:L$341)&lt;&gt;"",_xlfn.XLOOKUP($C94,ALL!$C$2:$C$341,ALL!L$2:L$341),"")</f>
        <v/>
      </c>
      <c r="L94" s="4" t="str">
        <f>IF(_xlfn.XLOOKUP($C94,ALL!$C$2:$C$341,ALL!M$2:M$341)&lt;&gt;"",_xlfn.XLOOKUP($C94,ALL!$C$2:$C$341,ALL!M$2:M$341),"")</f>
        <v/>
      </c>
      <c r="M94" s="4" t="str">
        <f>IF(_xlfn.XLOOKUP($C94,ALL!$C$2:$C$341,ALL!N$2:N$341)&lt;&gt;"",_xlfn.XLOOKUP($C94,ALL!$C$2:$C$341,ALL!N$2:N$341),"")</f>
        <v/>
      </c>
    </row>
    <row r="95" spans="1:13" ht="19.2" customHeight="1" x14ac:dyDescent="0.3">
      <c r="A95" s="100" t="str">
        <f t="shared" si="1"/>
        <v/>
      </c>
      <c r="B95" s="94" t="str">
        <f>IF(_xlfn.XLOOKUP($C95,ALL!$C$2:$C$341,ALL!B$2:B$341)&lt;&gt;"",_xlfn.XLOOKUP($C95,ALL!$C$2:$C$341,ALL!B$2:B$341),"")</f>
        <v/>
      </c>
      <c r="D95" s="69" t="str">
        <f>IF(_xlfn.XLOOKUP($C95,ALL!$C$2:$C$341,ALL!D$2:D$341)&lt;&gt;"",_xlfn.XLOOKUP($C95,ALL!$C$2:$C$341,ALL!D$2:D$341),"")</f>
        <v/>
      </c>
      <c r="E95" s="69" t="str">
        <f>IF(_xlfn.XLOOKUP($C95,ALL!$C$2:$C$341,ALL!F$2:F$341)&lt;&gt;"",_xlfn.XLOOKUP($C95,ALL!$C$2:$C$341,ALL!F$2:F$341),"")</f>
        <v/>
      </c>
      <c r="F95" s="69" t="str">
        <f>IF(_xlfn.XLOOKUP($C95,ALL!$C$2:$C$341,ALL!G$2:G$341)&lt;&gt;"",_xlfn.XLOOKUP($C95,ALL!$C$2:$C$341,ALL!G$2:G$341),"")</f>
        <v/>
      </c>
      <c r="G95" s="70" t="str">
        <f>IF(_xlfn.XLOOKUP($C95,ALL!$C$2:$C$341,ALL!H$2:H$341)&lt;&gt;"",_xlfn.XLOOKUP($C95,ALL!$C$2:$C$341,ALL!H$2:H$341),"")</f>
        <v/>
      </c>
      <c r="H95" s="69" t="str">
        <f>IF(_xlfn.XLOOKUP($C95,ALL!$C$2:$C$341,ALL!I$2:I$341)&lt;&gt;"",_xlfn.XLOOKUP($C95,ALL!$C$2:$C$341,ALL!I$2:I$341),"")</f>
        <v/>
      </c>
      <c r="I95" s="69" t="str">
        <f>IF(_xlfn.XLOOKUP($C95,ALL!$C$2:$C$341,ALL!J$2:J$341)&lt;&gt;"",_xlfn.XLOOKUP($C95,ALL!$C$2:$C$341,ALL!J$2:J$341),"")</f>
        <v/>
      </c>
      <c r="J95" s="70" t="str">
        <f>IF(_xlfn.XLOOKUP($C95,ALL!$C$2:$C$341,ALL!K$2:K$341)&lt;&gt;"",_xlfn.XLOOKUP($C95,ALL!$C$2:$C$341,ALL!K$2:K$341),"")</f>
        <v/>
      </c>
      <c r="K95" s="4" t="str">
        <f>IF(_xlfn.XLOOKUP($C95,ALL!$C$2:$C$341,ALL!L$2:L$341)&lt;&gt;"",_xlfn.XLOOKUP($C95,ALL!$C$2:$C$341,ALL!L$2:L$341),"")</f>
        <v/>
      </c>
      <c r="L95" s="4" t="str">
        <f>IF(_xlfn.XLOOKUP($C95,ALL!$C$2:$C$341,ALL!M$2:M$341)&lt;&gt;"",_xlfn.XLOOKUP($C95,ALL!$C$2:$C$341,ALL!M$2:M$341),"")</f>
        <v/>
      </c>
      <c r="M95" s="4" t="str">
        <f>IF(_xlfn.XLOOKUP($C95,ALL!$C$2:$C$341,ALL!N$2:N$341)&lt;&gt;"",_xlfn.XLOOKUP($C95,ALL!$C$2:$C$341,ALL!N$2:N$341),"")</f>
        <v/>
      </c>
    </row>
    <row r="96" spans="1:13" ht="19.2" customHeight="1" x14ac:dyDescent="0.3">
      <c r="A96" s="100" t="str">
        <f t="shared" si="1"/>
        <v/>
      </c>
      <c r="B96" s="94" t="str">
        <f>IF(_xlfn.XLOOKUP($C96,ALL!$C$2:$C$341,ALL!B$2:B$341)&lt;&gt;"",_xlfn.XLOOKUP($C96,ALL!$C$2:$C$341,ALL!B$2:B$341),"")</f>
        <v/>
      </c>
      <c r="D96" s="69" t="str">
        <f>IF(_xlfn.XLOOKUP($C96,ALL!$C$2:$C$341,ALL!D$2:D$341)&lt;&gt;"",_xlfn.XLOOKUP($C96,ALL!$C$2:$C$341,ALL!D$2:D$341),"")</f>
        <v/>
      </c>
      <c r="E96" s="69" t="str">
        <f>IF(_xlfn.XLOOKUP($C96,ALL!$C$2:$C$341,ALL!F$2:F$341)&lt;&gt;"",_xlfn.XLOOKUP($C96,ALL!$C$2:$C$341,ALL!F$2:F$341),"")</f>
        <v/>
      </c>
      <c r="F96" s="69" t="str">
        <f>IF(_xlfn.XLOOKUP($C96,ALL!$C$2:$C$341,ALL!G$2:G$341)&lt;&gt;"",_xlfn.XLOOKUP($C96,ALL!$C$2:$C$341,ALL!G$2:G$341),"")</f>
        <v/>
      </c>
      <c r="G96" s="70" t="str">
        <f>IF(_xlfn.XLOOKUP($C96,ALL!$C$2:$C$341,ALL!H$2:H$341)&lt;&gt;"",_xlfn.XLOOKUP($C96,ALL!$C$2:$C$341,ALL!H$2:H$341),"")</f>
        <v/>
      </c>
      <c r="H96" s="69" t="str">
        <f>IF(_xlfn.XLOOKUP($C96,ALL!$C$2:$C$341,ALL!I$2:I$341)&lt;&gt;"",_xlfn.XLOOKUP($C96,ALL!$C$2:$C$341,ALL!I$2:I$341),"")</f>
        <v/>
      </c>
      <c r="I96" s="69" t="str">
        <f>IF(_xlfn.XLOOKUP($C96,ALL!$C$2:$C$341,ALL!J$2:J$341)&lt;&gt;"",_xlfn.XLOOKUP($C96,ALL!$C$2:$C$341,ALL!J$2:J$341),"")</f>
        <v/>
      </c>
      <c r="J96" s="70" t="str">
        <f>IF(_xlfn.XLOOKUP($C96,ALL!$C$2:$C$341,ALL!K$2:K$341)&lt;&gt;"",_xlfn.XLOOKUP($C96,ALL!$C$2:$C$341,ALL!K$2:K$341),"")</f>
        <v/>
      </c>
      <c r="K96" s="4" t="str">
        <f>IF(_xlfn.XLOOKUP($C96,ALL!$C$2:$C$341,ALL!L$2:L$341)&lt;&gt;"",_xlfn.XLOOKUP($C96,ALL!$C$2:$C$341,ALL!L$2:L$341),"")</f>
        <v/>
      </c>
      <c r="L96" s="4" t="str">
        <f>IF(_xlfn.XLOOKUP($C96,ALL!$C$2:$C$341,ALL!M$2:M$341)&lt;&gt;"",_xlfn.XLOOKUP($C96,ALL!$C$2:$C$341,ALL!M$2:M$341),"")</f>
        <v/>
      </c>
      <c r="M96" s="4" t="str">
        <f>IF(_xlfn.XLOOKUP($C96,ALL!$C$2:$C$341,ALL!N$2:N$341)&lt;&gt;"",_xlfn.XLOOKUP($C96,ALL!$C$2:$C$341,ALL!N$2:N$341),"")</f>
        <v/>
      </c>
    </row>
    <row r="97" spans="1:13" ht="19.2" customHeight="1" x14ac:dyDescent="0.3">
      <c r="A97" s="100" t="str">
        <f t="shared" si="1"/>
        <v/>
      </c>
      <c r="B97" s="94" t="str">
        <f>IF(_xlfn.XLOOKUP($C97,ALL!$C$2:$C$341,ALL!B$2:B$341)&lt;&gt;"",_xlfn.XLOOKUP($C97,ALL!$C$2:$C$341,ALL!B$2:B$341),"")</f>
        <v/>
      </c>
      <c r="D97" s="69" t="str">
        <f>IF(_xlfn.XLOOKUP($C97,ALL!$C$2:$C$341,ALL!D$2:D$341)&lt;&gt;"",_xlfn.XLOOKUP($C97,ALL!$C$2:$C$341,ALL!D$2:D$341),"")</f>
        <v/>
      </c>
      <c r="E97" s="69" t="str">
        <f>IF(_xlfn.XLOOKUP($C97,ALL!$C$2:$C$341,ALL!F$2:F$341)&lt;&gt;"",_xlfn.XLOOKUP($C97,ALL!$C$2:$C$341,ALL!F$2:F$341),"")</f>
        <v/>
      </c>
      <c r="F97" s="69" t="str">
        <f>IF(_xlfn.XLOOKUP($C97,ALL!$C$2:$C$341,ALL!G$2:G$341)&lt;&gt;"",_xlfn.XLOOKUP($C97,ALL!$C$2:$C$341,ALL!G$2:G$341),"")</f>
        <v/>
      </c>
      <c r="G97" s="70" t="str">
        <f>IF(_xlfn.XLOOKUP($C97,ALL!$C$2:$C$341,ALL!H$2:H$341)&lt;&gt;"",_xlfn.XLOOKUP($C97,ALL!$C$2:$C$341,ALL!H$2:H$341),"")</f>
        <v/>
      </c>
      <c r="H97" s="69" t="str">
        <f>IF(_xlfn.XLOOKUP($C97,ALL!$C$2:$C$341,ALL!I$2:I$341)&lt;&gt;"",_xlfn.XLOOKUP($C97,ALL!$C$2:$C$341,ALL!I$2:I$341),"")</f>
        <v/>
      </c>
      <c r="I97" s="69" t="str">
        <f>IF(_xlfn.XLOOKUP($C97,ALL!$C$2:$C$341,ALL!J$2:J$341)&lt;&gt;"",_xlfn.XLOOKUP($C97,ALL!$C$2:$C$341,ALL!J$2:J$341),"")</f>
        <v/>
      </c>
      <c r="J97" s="70" t="str">
        <f>IF(_xlfn.XLOOKUP($C97,ALL!$C$2:$C$341,ALL!K$2:K$341)&lt;&gt;"",_xlfn.XLOOKUP($C97,ALL!$C$2:$C$341,ALL!K$2:K$341),"")</f>
        <v/>
      </c>
      <c r="K97" s="4" t="str">
        <f>IF(_xlfn.XLOOKUP($C97,ALL!$C$2:$C$341,ALL!L$2:L$341)&lt;&gt;"",_xlfn.XLOOKUP($C97,ALL!$C$2:$C$341,ALL!L$2:L$341),"")</f>
        <v/>
      </c>
      <c r="L97" s="4" t="str">
        <f>IF(_xlfn.XLOOKUP($C97,ALL!$C$2:$C$341,ALL!M$2:M$341)&lt;&gt;"",_xlfn.XLOOKUP($C97,ALL!$C$2:$C$341,ALL!M$2:M$341),"")</f>
        <v/>
      </c>
      <c r="M97" s="4" t="str">
        <f>IF(_xlfn.XLOOKUP($C97,ALL!$C$2:$C$341,ALL!N$2:N$341)&lt;&gt;"",_xlfn.XLOOKUP($C97,ALL!$C$2:$C$341,ALL!N$2:N$341),"")</f>
        <v/>
      </c>
    </row>
    <row r="98" spans="1:13" ht="19.2" customHeight="1" x14ac:dyDescent="0.3">
      <c r="A98" s="100" t="str">
        <f t="shared" si="1"/>
        <v/>
      </c>
      <c r="B98" s="94" t="str">
        <f>IF(_xlfn.XLOOKUP($C98,ALL!$C$2:$C$341,ALL!B$2:B$341)&lt;&gt;"",_xlfn.XLOOKUP($C98,ALL!$C$2:$C$341,ALL!B$2:B$341),"")</f>
        <v/>
      </c>
      <c r="D98" s="69" t="str">
        <f>IF(_xlfn.XLOOKUP($C98,ALL!$C$2:$C$341,ALL!D$2:D$341)&lt;&gt;"",_xlfn.XLOOKUP($C98,ALL!$C$2:$C$341,ALL!D$2:D$341),"")</f>
        <v/>
      </c>
      <c r="E98" s="69" t="str">
        <f>IF(_xlfn.XLOOKUP($C98,ALL!$C$2:$C$341,ALL!F$2:F$341)&lt;&gt;"",_xlfn.XLOOKUP($C98,ALL!$C$2:$C$341,ALL!F$2:F$341),"")</f>
        <v/>
      </c>
      <c r="F98" s="69" t="str">
        <f>IF(_xlfn.XLOOKUP($C98,ALL!$C$2:$C$341,ALL!G$2:G$341)&lt;&gt;"",_xlfn.XLOOKUP($C98,ALL!$C$2:$C$341,ALL!G$2:G$341),"")</f>
        <v/>
      </c>
      <c r="G98" s="70" t="str">
        <f>IF(_xlfn.XLOOKUP($C98,ALL!$C$2:$C$341,ALL!H$2:H$341)&lt;&gt;"",_xlfn.XLOOKUP($C98,ALL!$C$2:$C$341,ALL!H$2:H$341),"")</f>
        <v/>
      </c>
      <c r="H98" s="69" t="str">
        <f>IF(_xlfn.XLOOKUP($C98,ALL!$C$2:$C$341,ALL!I$2:I$341)&lt;&gt;"",_xlfn.XLOOKUP($C98,ALL!$C$2:$C$341,ALL!I$2:I$341),"")</f>
        <v/>
      </c>
      <c r="I98" s="69" t="str">
        <f>IF(_xlfn.XLOOKUP($C98,ALL!$C$2:$C$341,ALL!J$2:J$341)&lt;&gt;"",_xlfn.XLOOKUP($C98,ALL!$C$2:$C$341,ALL!J$2:J$341),"")</f>
        <v/>
      </c>
      <c r="J98" s="70" t="str">
        <f>IF(_xlfn.XLOOKUP($C98,ALL!$C$2:$C$341,ALL!K$2:K$341)&lt;&gt;"",_xlfn.XLOOKUP($C98,ALL!$C$2:$C$341,ALL!K$2:K$341),"")</f>
        <v/>
      </c>
      <c r="K98" s="4" t="str">
        <f>IF(_xlfn.XLOOKUP($C98,ALL!$C$2:$C$341,ALL!L$2:L$341)&lt;&gt;"",_xlfn.XLOOKUP($C98,ALL!$C$2:$C$341,ALL!L$2:L$341),"")</f>
        <v/>
      </c>
      <c r="L98" s="4" t="str">
        <f>IF(_xlfn.XLOOKUP($C98,ALL!$C$2:$C$341,ALL!M$2:M$341)&lt;&gt;"",_xlfn.XLOOKUP($C98,ALL!$C$2:$C$341,ALL!M$2:M$341),"")</f>
        <v/>
      </c>
      <c r="M98" s="4" t="str">
        <f>IF(_xlfn.XLOOKUP($C98,ALL!$C$2:$C$341,ALL!N$2:N$341)&lt;&gt;"",_xlfn.XLOOKUP($C98,ALL!$C$2:$C$341,ALL!N$2:N$341),"")</f>
        <v/>
      </c>
    </row>
    <row r="99" spans="1:13" ht="19.2" customHeight="1" x14ac:dyDescent="0.3">
      <c r="A99" s="100" t="str">
        <f t="shared" si="1"/>
        <v/>
      </c>
      <c r="B99" s="94" t="str">
        <f>IF(_xlfn.XLOOKUP($C99,ALL!$C$2:$C$341,ALL!B$2:B$341)&lt;&gt;"",_xlfn.XLOOKUP($C99,ALL!$C$2:$C$341,ALL!B$2:B$341),"")</f>
        <v/>
      </c>
      <c r="D99" s="69" t="str">
        <f>IF(_xlfn.XLOOKUP($C99,ALL!$C$2:$C$341,ALL!D$2:D$341)&lt;&gt;"",_xlfn.XLOOKUP($C99,ALL!$C$2:$C$341,ALL!D$2:D$341),"")</f>
        <v/>
      </c>
      <c r="E99" s="69" t="str">
        <f>IF(_xlfn.XLOOKUP($C99,ALL!$C$2:$C$341,ALL!F$2:F$341)&lt;&gt;"",_xlfn.XLOOKUP($C99,ALL!$C$2:$C$341,ALL!F$2:F$341),"")</f>
        <v/>
      </c>
      <c r="F99" s="69" t="str">
        <f>IF(_xlfn.XLOOKUP($C99,ALL!$C$2:$C$341,ALL!G$2:G$341)&lt;&gt;"",_xlfn.XLOOKUP($C99,ALL!$C$2:$C$341,ALL!G$2:G$341),"")</f>
        <v/>
      </c>
      <c r="G99" s="70" t="str">
        <f>IF(_xlfn.XLOOKUP($C99,ALL!$C$2:$C$341,ALL!H$2:H$341)&lt;&gt;"",_xlfn.XLOOKUP($C99,ALL!$C$2:$C$341,ALL!H$2:H$341),"")</f>
        <v/>
      </c>
      <c r="H99" s="69" t="str">
        <f>IF(_xlfn.XLOOKUP($C99,ALL!$C$2:$C$341,ALL!I$2:I$341)&lt;&gt;"",_xlfn.XLOOKUP($C99,ALL!$C$2:$C$341,ALL!I$2:I$341),"")</f>
        <v/>
      </c>
      <c r="I99" s="69" t="str">
        <f>IF(_xlfn.XLOOKUP($C99,ALL!$C$2:$C$341,ALL!J$2:J$341)&lt;&gt;"",_xlfn.XLOOKUP($C99,ALL!$C$2:$C$341,ALL!J$2:J$341),"")</f>
        <v/>
      </c>
      <c r="J99" s="70" t="str">
        <f>IF(_xlfn.XLOOKUP($C99,ALL!$C$2:$C$341,ALL!K$2:K$341)&lt;&gt;"",_xlfn.XLOOKUP($C99,ALL!$C$2:$C$341,ALL!K$2:K$341),"")</f>
        <v/>
      </c>
      <c r="K99" s="4" t="str">
        <f>IF(_xlfn.XLOOKUP($C99,ALL!$C$2:$C$341,ALL!L$2:L$341)&lt;&gt;"",_xlfn.XLOOKUP($C99,ALL!$C$2:$C$341,ALL!L$2:L$341),"")</f>
        <v/>
      </c>
      <c r="L99" s="4" t="str">
        <f>IF(_xlfn.XLOOKUP($C99,ALL!$C$2:$C$341,ALL!M$2:M$341)&lt;&gt;"",_xlfn.XLOOKUP($C99,ALL!$C$2:$C$341,ALL!M$2:M$341),"")</f>
        <v/>
      </c>
      <c r="M99" s="4" t="str">
        <f>IF(_xlfn.XLOOKUP($C99,ALL!$C$2:$C$341,ALL!N$2:N$341)&lt;&gt;"",_xlfn.XLOOKUP($C99,ALL!$C$2:$C$341,ALL!N$2:N$341),"")</f>
        <v/>
      </c>
    </row>
    <row r="100" spans="1:13" ht="19.2" customHeight="1" x14ac:dyDescent="0.3">
      <c r="A100" s="100" t="str">
        <f t="shared" si="1"/>
        <v/>
      </c>
      <c r="B100" s="94" t="str">
        <f>IF(_xlfn.XLOOKUP($C100,ALL!$C$2:$C$341,ALL!B$2:B$341)&lt;&gt;"",_xlfn.XLOOKUP($C100,ALL!$C$2:$C$341,ALL!B$2:B$341),"")</f>
        <v/>
      </c>
      <c r="D100" s="69" t="str">
        <f>IF(_xlfn.XLOOKUP($C100,ALL!$C$2:$C$341,ALL!D$2:D$341)&lt;&gt;"",_xlfn.XLOOKUP($C100,ALL!$C$2:$C$341,ALL!D$2:D$341),"")</f>
        <v/>
      </c>
      <c r="E100" s="69" t="str">
        <f>IF(_xlfn.XLOOKUP($C100,ALL!$C$2:$C$341,ALL!F$2:F$341)&lt;&gt;"",_xlfn.XLOOKUP($C100,ALL!$C$2:$C$341,ALL!F$2:F$341),"")</f>
        <v/>
      </c>
      <c r="F100" s="69" t="str">
        <f>IF(_xlfn.XLOOKUP($C100,ALL!$C$2:$C$341,ALL!G$2:G$341)&lt;&gt;"",_xlfn.XLOOKUP($C100,ALL!$C$2:$C$341,ALL!G$2:G$341),"")</f>
        <v/>
      </c>
      <c r="G100" s="70" t="str">
        <f>IF(_xlfn.XLOOKUP($C100,ALL!$C$2:$C$341,ALL!H$2:H$341)&lt;&gt;"",_xlfn.XLOOKUP($C100,ALL!$C$2:$C$341,ALL!H$2:H$341),"")</f>
        <v/>
      </c>
      <c r="H100" s="69" t="str">
        <f>IF(_xlfn.XLOOKUP($C100,ALL!$C$2:$C$341,ALL!I$2:I$341)&lt;&gt;"",_xlfn.XLOOKUP($C100,ALL!$C$2:$C$341,ALL!I$2:I$341),"")</f>
        <v/>
      </c>
      <c r="I100" s="69" t="str">
        <f>IF(_xlfn.XLOOKUP($C100,ALL!$C$2:$C$341,ALL!J$2:J$341)&lt;&gt;"",_xlfn.XLOOKUP($C100,ALL!$C$2:$C$341,ALL!J$2:J$341),"")</f>
        <v/>
      </c>
      <c r="J100" s="70" t="str">
        <f>IF(_xlfn.XLOOKUP($C100,ALL!$C$2:$C$341,ALL!K$2:K$341)&lt;&gt;"",_xlfn.XLOOKUP($C100,ALL!$C$2:$C$341,ALL!K$2:K$341),"")</f>
        <v/>
      </c>
      <c r="K100" s="4" t="str">
        <f>IF(_xlfn.XLOOKUP($C100,ALL!$C$2:$C$341,ALL!L$2:L$341)&lt;&gt;"",_xlfn.XLOOKUP($C100,ALL!$C$2:$C$341,ALL!L$2:L$341),"")</f>
        <v/>
      </c>
      <c r="L100" s="4" t="str">
        <f>IF(_xlfn.XLOOKUP($C100,ALL!$C$2:$C$341,ALL!M$2:M$341)&lt;&gt;"",_xlfn.XLOOKUP($C100,ALL!$C$2:$C$341,ALL!M$2:M$341),"")</f>
        <v/>
      </c>
      <c r="M100" s="4" t="str">
        <f>IF(_xlfn.XLOOKUP($C100,ALL!$C$2:$C$341,ALL!N$2:N$341)&lt;&gt;"",_xlfn.XLOOKUP($C100,ALL!$C$2:$C$341,ALL!N$2:N$341),"")</f>
        <v/>
      </c>
    </row>
    <row r="101" spans="1:13" ht="19.2" customHeight="1" x14ac:dyDescent="0.3">
      <c r="A101" s="100" t="str">
        <f t="shared" si="1"/>
        <v/>
      </c>
      <c r="B101" s="94" t="str">
        <f>IF(_xlfn.XLOOKUP($C101,ALL!$C$2:$C$341,ALL!B$2:B$341)&lt;&gt;"",_xlfn.XLOOKUP($C101,ALL!$C$2:$C$341,ALL!B$2:B$341),"")</f>
        <v/>
      </c>
      <c r="D101" s="69" t="str">
        <f>IF(_xlfn.XLOOKUP($C101,ALL!$C$2:$C$341,ALL!D$2:D$341)&lt;&gt;"",_xlfn.XLOOKUP($C101,ALL!$C$2:$C$341,ALL!D$2:D$341),"")</f>
        <v/>
      </c>
      <c r="E101" s="69" t="str">
        <f>IF(_xlfn.XLOOKUP($C101,ALL!$C$2:$C$341,ALL!F$2:F$341)&lt;&gt;"",_xlfn.XLOOKUP($C101,ALL!$C$2:$C$341,ALL!F$2:F$341),"")</f>
        <v/>
      </c>
      <c r="F101" s="69" t="str">
        <f>IF(_xlfn.XLOOKUP($C101,ALL!$C$2:$C$341,ALL!G$2:G$341)&lt;&gt;"",_xlfn.XLOOKUP($C101,ALL!$C$2:$C$341,ALL!G$2:G$341),"")</f>
        <v/>
      </c>
      <c r="G101" s="70" t="str">
        <f>IF(_xlfn.XLOOKUP($C101,ALL!$C$2:$C$341,ALL!H$2:H$341)&lt;&gt;"",_xlfn.XLOOKUP($C101,ALL!$C$2:$C$341,ALL!H$2:H$341),"")</f>
        <v/>
      </c>
      <c r="H101" s="69" t="str">
        <f>IF(_xlfn.XLOOKUP($C101,ALL!$C$2:$C$341,ALL!I$2:I$341)&lt;&gt;"",_xlfn.XLOOKUP($C101,ALL!$C$2:$C$341,ALL!I$2:I$341),"")</f>
        <v/>
      </c>
      <c r="I101" s="69" t="str">
        <f>IF(_xlfn.XLOOKUP($C101,ALL!$C$2:$C$341,ALL!J$2:J$341)&lt;&gt;"",_xlfn.XLOOKUP($C101,ALL!$C$2:$C$341,ALL!J$2:J$341),"")</f>
        <v/>
      </c>
      <c r="J101" s="70" t="str">
        <f>IF(_xlfn.XLOOKUP($C101,ALL!$C$2:$C$341,ALL!K$2:K$341)&lt;&gt;"",_xlfn.XLOOKUP($C101,ALL!$C$2:$C$341,ALL!K$2:K$341),"")</f>
        <v/>
      </c>
      <c r="K101" s="4" t="str">
        <f>IF(_xlfn.XLOOKUP($C101,ALL!$C$2:$C$341,ALL!L$2:L$341)&lt;&gt;"",_xlfn.XLOOKUP($C101,ALL!$C$2:$C$341,ALL!L$2:L$341),"")</f>
        <v/>
      </c>
      <c r="L101" s="4" t="str">
        <f>IF(_xlfn.XLOOKUP($C101,ALL!$C$2:$C$341,ALL!M$2:M$341)&lt;&gt;"",_xlfn.XLOOKUP($C101,ALL!$C$2:$C$341,ALL!M$2:M$341),"")</f>
        <v/>
      </c>
      <c r="M101" s="4" t="str">
        <f>IF(_xlfn.XLOOKUP($C101,ALL!$C$2:$C$341,ALL!N$2:N$341)&lt;&gt;"",_xlfn.XLOOKUP($C101,ALL!$C$2:$C$341,ALL!N$2:N$341),"")</f>
        <v/>
      </c>
    </row>
    <row r="102" spans="1:13" ht="19.2" customHeight="1" x14ac:dyDescent="0.3">
      <c r="A102" s="100" t="str">
        <f t="shared" si="1"/>
        <v/>
      </c>
      <c r="B102" s="94" t="str">
        <f>IF(_xlfn.XLOOKUP($C102,ALL!$C$2:$C$341,ALL!B$2:B$341)&lt;&gt;"",_xlfn.XLOOKUP($C102,ALL!$C$2:$C$341,ALL!B$2:B$341),"")</f>
        <v/>
      </c>
      <c r="D102" s="69" t="str">
        <f>IF(_xlfn.XLOOKUP($C102,ALL!$C$2:$C$341,ALL!D$2:D$341)&lt;&gt;"",_xlfn.XLOOKUP($C102,ALL!$C$2:$C$341,ALL!D$2:D$341),"")</f>
        <v/>
      </c>
      <c r="E102" s="69" t="str">
        <f>IF(_xlfn.XLOOKUP($C102,ALL!$C$2:$C$341,ALL!F$2:F$341)&lt;&gt;"",_xlfn.XLOOKUP($C102,ALL!$C$2:$C$341,ALL!F$2:F$341),"")</f>
        <v/>
      </c>
      <c r="F102" s="69" t="str">
        <f>IF(_xlfn.XLOOKUP($C102,ALL!$C$2:$C$341,ALL!G$2:G$341)&lt;&gt;"",_xlfn.XLOOKUP($C102,ALL!$C$2:$C$341,ALL!G$2:G$341),"")</f>
        <v/>
      </c>
      <c r="G102" s="70" t="str">
        <f>IF(_xlfn.XLOOKUP($C102,ALL!$C$2:$C$341,ALL!H$2:H$341)&lt;&gt;"",_xlfn.XLOOKUP($C102,ALL!$C$2:$C$341,ALL!H$2:H$341),"")</f>
        <v/>
      </c>
      <c r="H102" s="69" t="str">
        <f>IF(_xlfn.XLOOKUP($C102,ALL!$C$2:$C$341,ALL!I$2:I$341)&lt;&gt;"",_xlfn.XLOOKUP($C102,ALL!$C$2:$C$341,ALL!I$2:I$341),"")</f>
        <v/>
      </c>
      <c r="I102" s="69" t="str">
        <f>IF(_xlfn.XLOOKUP($C102,ALL!$C$2:$C$341,ALL!J$2:J$341)&lt;&gt;"",_xlfn.XLOOKUP($C102,ALL!$C$2:$C$341,ALL!J$2:J$341),"")</f>
        <v/>
      </c>
      <c r="J102" s="70" t="str">
        <f>IF(_xlfn.XLOOKUP($C102,ALL!$C$2:$C$341,ALL!K$2:K$341)&lt;&gt;"",_xlfn.XLOOKUP($C102,ALL!$C$2:$C$341,ALL!K$2:K$341),"")</f>
        <v/>
      </c>
      <c r="K102" s="4" t="str">
        <f>IF(_xlfn.XLOOKUP($C102,ALL!$C$2:$C$341,ALL!L$2:L$341)&lt;&gt;"",_xlfn.XLOOKUP($C102,ALL!$C$2:$C$341,ALL!L$2:L$341),"")</f>
        <v/>
      </c>
      <c r="L102" s="4" t="str">
        <f>IF(_xlfn.XLOOKUP($C102,ALL!$C$2:$C$341,ALL!M$2:M$341)&lt;&gt;"",_xlfn.XLOOKUP($C102,ALL!$C$2:$C$341,ALL!M$2:M$341),"")</f>
        <v/>
      </c>
      <c r="M102" s="4" t="str">
        <f>IF(_xlfn.XLOOKUP($C102,ALL!$C$2:$C$341,ALL!N$2:N$341)&lt;&gt;"",_xlfn.XLOOKUP($C102,ALL!$C$2:$C$341,ALL!N$2:N$341),"")</f>
        <v/>
      </c>
    </row>
    <row r="103" spans="1:13" ht="19.2" customHeight="1" x14ac:dyDescent="0.3">
      <c r="A103" s="100" t="str">
        <f t="shared" si="1"/>
        <v/>
      </c>
      <c r="B103" s="94" t="str">
        <f>IF(_xlfn.XLOOKUP($C103,ALL!$C$2:$C$341,ALL!B$2:B$341)&lt;&gt;"",_xlfn.XLOOKUP($C103,ALL!$C$2:$C$341,ALL!B$2:B$341),"")</f>
        <v/>
      </c>
      <c r="D103" s="69" t="str">
        <f>IF(_xlfn.XLOOKUP($C103,ALL!$C$2:$C$341,ALL!D$2:D$341)&lt;&gt;"",_xlfn.XLOOKUP($C103,ALL!$C$2:$C$341,ALL!D$2:D$341),"")</f>
        <v/>
      </c>
      <c r="E103" s="69" t="str">
        <f>IF(_xlfn.XLOOKUP($C103,ALL!$C$2:$C$341,ALL!F$2:F$341)&lt;&gt;"",_xlfn.XLOOKUP($C103,ALL!$C$2:$C$341,ALL!F$2:F$341),"")</f>
        <v/>
      </c>
      <c r="F103" s="69" t="str">
        <f>IF(_xlfn.XLOOKUP($C103,ALL!$C$2:$C$341,ALL!G$2:G$341)&lt;&gt;"",_xlfn.XLOOKUP($C103,ALL!$C$2:$C$341,ALL!G$2:G$341),"")</f>
        <v/>
      </c>
      <c r="G103" s="70" t="str">
        <f>IF(_xlfn.XLOOKUP($C103,ALL!$C$2:$C$341,ALL!H$2:H$341)&lt;&gt;"",_xlfn.XLOOKUP($C103,ALL!$C$2:$C$341,ALL!H$2:H$341),"")</f>
        <v/>
      </c>
      <c r="H103" s="69" t="str">
        <f>IF(_xlfn.XLOOKUP($C103,ALL!$C$2:$C$341,ALL!I$2:I$341)&lt;&gt;"",_xlfn.XLOOKUP($C103,ALL!$C$2:$C$341,ALL!I$2:I$341),"")</f>
        <v/>
      </c>
      <c r="I103" s="69" t="str">
        <f>IF(_xlfn.XLOOKUP($C103,ALL!$C$2:$C$341,ALL!J$2:J$341)&lt;&gt;"",_xlfn.XLOOKUP($C103,ALL!$C$2:$C$341,ALL!J$2:J$341),"")</f>
        <v/>
      </c>
      <c r="J103" s="70" t="str">
        <f>IF(_xlfn.XLOOKUP($C103,ALL!$C$2:$C$341,ALL!K$2:K$341)&lt;&gt;"",_xlfn.XLOOKUP($C103,ALL!$C$2:$C$341,ALL!K$2:K$341),"")</f>
        <v/>
      </c>
      <c r="K103" s="4" t="str">
        <f>IF(_xlfn.XLOOKUP($C103,ALL!$C$2:$C$341,ALL!L$2:L$341)&lt;&gt;"",_xlfn.XLOOKUP($C103,ALL!$C$2:$C$341,ALL!L$2:L$341),"")</f>
        <v/>
      </c>
      <c r="L103" s="4" t="str">
        <f>IF(_xlfn.XLOOKUP($C103,ALL!$C$2:$C$341,ALL!M$2:M$341)&lt;&gt;"",_xlfn.XLOOKUP($C103,ALL!$C$2:$C$341,ALL!M$2:M$341),"")</f>
        <v/>
      </c>
      <c r="M103" s="4" t="str">
        <f>IF(_xlfn.XLOOKUP($C103,ALL!$C$2:$C$341,ALL!N$2:N$341)&lt;&gt;"",_xlfn.XLOOKUP($C103,ALL!$C$2:$C$341,ALL!N$2:N$341),"")</f>
        <v/>
      </c>
    </row>
    <row r="104" spans="1:13" ht="19.2" customHeight="1" x14ac:dyDescent="0.3">
      <c r="A104" s="100" t="str">
        <f t="shared" si="1"/>
        <v/>
      </c>
      <c r="B104" s="94" t="str">
        <f>IF(_xlfn.XLOOKUP($C104,ALL!$C$2:$C$341,ALL!B$2:B$341)&lt;&gt;"",_xlfn.XLOOKUP($C104,ALL!$C$2:$C$341,ALL!B$2:B$341),"")</f>
        <v/>
      </c>
      <c r="D104" s="69" t="str">
        <f>IF(_xlfn.XLOOKUP($C104,ALL!$C$2:$C$341,ALL!D$2:D$341)&lt;&gt;"",_xlfn.XLOOKUP($C104,ALL!$C$2:$C$341,ALL!D$2:D$341),"")</f>
        <v/>
      </c>
      <c r="E104" s="69" t="str">
        <f>IF(_xlfn.XLOOKUP($C104,ALL!$C$2:$C$341,ALL!F$2:F$341)&lt;&gt;"",_xlfn.XLOOKUP($C104,ALL!$C$2:$C$341,ALL!F$2:F$341),"")</f>
        <v/>
      </c>
      <c r="F104" s="69" t="str">
        <f>IF(_xlfn.XLOOKUP($C104,ALL!$C$2:$C$341,ALL!G$2:G$341)&lt;&gt;"",_xlfn.XLOOKUP($C104,ALL!$C$2:$C$341,ALL!G$2:G$341),"")</f>
        <v/>
      </c>
      <c r="G104" s="70" t="str">
        <f>IF(_xlfn.XLOOKUP($C104,ALL!$C$2:$C$341,ALL!H$2:H$341)&lt;&gt;"",_xlfn.XLOOKUP($C104,ALL!$C$2:$C$341,ALL!H$2:H$341),"")</f>
        <v/>
      </c>
      <c r="H104" s="69" t="str">
        <f>IF(_xlfn.XLOOKUP($C104,ALL!$C$2:$C$341,ALL!I$2:I$341)&lt;&gt;"",_xlfn.XLOOKUP($C104,ALL!$C$2:$C$341,ALL!I$2:I$341),"")</f>
        <v/>
      </c>
      <c r="I104" s="69" t="str">
        <f>IF(_xlfn.XLOOKUP($C104,ALL!$C$2:$C$341,ALL!J$2:J$341)&lt;&gt;"",_xlfn.XLOOKUP($C104,ALL!$C$2:$C$341,ALL!J$2:J$341),"")</f>
        <v/>
      </c>
      <c r="J104" s="70" t="str">
        <f>IF(_xlfn.XLOOKUP($C104,ALL!$C$2:$C$341,ALL!K$2:K$341)&lt;&gt;"",_xlfn.XLOOKUP($C104,ALL!$C$2:$C$341,ALL!K$2:K$341),"")</f>
        <v/>
      </c>
      <c r="K104" s="4" t="str">
        <f>IF(_xlfn.XLOOKUP($C104,ALL!$C$2:$C$341,ALL!L$2:L$341)&lt;&gt;"",_xlfn.XLOOKUP($C104,ALL!$C$2:$C$341,ALL!L$2:L$341),"")</f>
        <v/>
      </c>
      <c r="L104" s="4" t="str">
        <f>IF(_xlfn.XLOOKUP($C104,ALL!$C$2:$C$341,ALL!M$2:M$341)&lt;&gt;"",_xlfn.XLOOKUP($C104,ALL!$C$2:$C$341,ALL!M$2:M$341),"")</f>
        <v/>
      </c>
      <c r="M104" s="4" t="str">
        <f>IF(_xlfn.XLOOKUP($C104,ALL!$C$2:$C$341,ALL!N$2:N$341)&lt;&gt;"",_xlfn.XLOOKUP($C104,ALL!$C$2:$C$341,ALL!N$2:N$341),"")</f>
        <v/>
      </c>
    </row>
    <row r="105" spans="1:13" ht="19.2" customHeight="1" x14ac:dyDescent="0.3">
      <c r="A105" s="100" t="str">
        <f t="shared" si="1"/>
        <v/>
      </c>
      <c r="B105" s="94" t="str">
        <f>IF(_xlfn.XLOOKUP($C105,ALL!$C$2:$C$341,ALL!B$2:B$341)&lt;&gt;"",_xlfn.XLOOKUP($C105,ALL!$C$2:$C$341,ALL!B$2:B$341),"")</f>
        <v/>
      </c>
      <c r="D105" s="69" t="str">
        <f>IF(_xlfn.XLOOKUP($C105,ALL!$C$2:$C$341,ALL!D$2:D$341)&lt;&gt;"",_xlfn.XLOOKUP($C105,ALL!$C$2:$C$341,ALL!D$2:D$341),"")</f>
        <v/>
      </c>
      <c r="E105" s="69" t="str">
        <f>IF(_xlfn.XLOOKUP($C105,ALL!$C$2:$C$341,ALL!F$2:F$341)&lt;&gt;"",_xlfn.XLOOKUP($C105,ALL!$C$2:$C$341,ALL!F$2:F$341),"")</f>
        <v/>
      </c>
      <c r="F105" s="69" t="str">
        <f>IF(_xlfn.XLOOKUP($C105,ALL!$C$2:$C$341,ALL!G$2:G$341)&lt;&gt;"",_xlfn.XLOOKUP($C105,ALL!$C$2:$C$341,ALL!G$2:G$341),"")</f>
        <v/>
      </c>
      <c r="G105" s="70" t="str">
        <f>IF(_xlfn.XLOOKUP($C105,ALL!$C$2:$C$341,ALL!H$2:H$341)&lt;&gt;"",_xlfn.XLOOKUP($C105,ALL!$C$2:$C$341,ALL!H$2:H$341),"")</f>
        <v/>
      </c>
      <c r="H105" s="69" t="str">
        <f>IF(_xlfn.XLOOKUP($C105,ALL!$C$2:$C$341,ALL!I$2:I$341)&lt;&gt;"",_xlfn.XLOOKUP($C105,ALL!$C$2:$C$341,ALL!I$2:I$341),"")</f>
        <v/>
      </c>
      <c r="I105" s="69" t="str">
        <f>IF(_xlfn.XLOOKUP($C105,ALL!$C$2:$C$341,ALL!J$2:J$341)&lt;&gt;"",_xlfn.XLOOKUP($C105,ALL!$C$2:$C$341,ALL!J$2:J$341),"")</f>
        <v/>
      </c>
      <c r="J105" s="70" t="str">
        <f>IF(_xlfn.XLOOKUP($C105,ALL!$C$2:$C$341,ALL!K$2:K$341)&lt;&gt;"",_xlfn.XLOOKUP($C105,ALL!$C$2:$C$341,ALL!K$2:K$341),"")</f>
        <v/>
      </c>
      <c r="K105" s="4" t="str">
        <f>IF(_xlfn.XLOOKUP($C105,ALL!$C$2:$C$341,ALL!L$2:L$341)&lt;&gt;"",_xlfn.XLOOKUP($C105,ALL!$C$2:$C$341,ALL!L$2:L$341),"")</f>
        <v/>
      </c>
      <c r="L105" s="4" t="str">
        <f>IF(_xlfn.XLOOKUP($C105,ALL!$C$2:$C$341,ALL!M$2:M$341)&lt;&gt;"",_xlfn.XLOOKUP($C105,ALL!$C$2:$C$341,ALL!M$2:M$341),"")</f>
        <v/>
      </c>
      <c r="M105" s="4" t="str">
        <f>IF(_xlfn.XLOOKUP($C105,ALL!$C$2:$C$341,ALL!N$2:N$341)&lt;&gt;"",_xlfn.XLOOKUP($C105,ALL!$C$2:$C$341,ALL!N$2:N$341),"")</f>
        <v/>
      </c>
    </row>
    <row r="106" spans="1:13" ht="19.2" customHeight="1" x14ac:dyDescent="0.3">
      <c r="A106" s="100" t="str">
        <f t="shared" si="1"/>
        <v/>
      </c>
      <c r="B106" s="94" t="str">
        <f>IF(_xlfn.XLOOKUP($C106,ALL!$C$2:$C$341,ALL!B$2:B$341)&lt;&gt;"",_xlfn.XLOOKUP($C106,ALL!$C$2:$C$341,ALL!B$2:B$341),"")</f>
        <v/>
      </c>
      <c r="D106" s="69" t="str">
        <f>IF(_xlfn.XLOOKUP($C106,ALL!$C$2:$C$341,ALL!D$2:D$341)&lt;&gt;"",_xlfn.XLOOKUP($C106,ALL!$C$2:$C$341,ALL!D$2:D$341),"")</f>
        <v/>
      </c>
      <c r="E106" s="69" t="str">
        <f>IF(_xlfn.XLOOKUP($C106,ALL!$C$2:$C$341,ALL!F$2:F$341)&lt;&gt;"",_xlfn.XLOOKUP($C106,ALL!$C$2:$C$341,ALL!F$2:F$341),"")</f>
        <v/>
      </c>
      <c r="F106" s="69" t="str">
        <f>IF(_xlfn.XLOOKUP($C106,ALL!$C$2:$C$341,ALL!G$2:G$341)&lt;&gt;"",_xlfn.XLOOKUP($C106,ALL!$C$2:$C$341,ALL!G$2:G$341),"")</f>
        <v/>
      </c>
      <c r="G106" s="70" t="str">
        <f>IF(_xlfn.XLOOKUP($C106,ALL!$C$2:$C$341,ALL!H$2:H$341)&lt;&gt;"",_xlfn.XLOOKUP($C106,ALL!$C$2:$C$341,ALL!H$2:H$341),"")</f>
        <v/>
      </c>
      <c r="H106" s="69" t="str">
        <f>IF(_xlfn.XLOOKUP($C106,ALL!$C$2:$C$341,ALL!I$2:I$341)&lt;&gt;"",_xlfn.XLOOKUP($C106,ALL!$C$2:$C$341,ALL!I$2:I$341),"")</f>
        <v/>
      </c>
      <c r="I106" s="69" t="str">
        <f>IF(_xlfn.XLOOKUP($C106,ALL!$C$2:$C$341,ALL!J$2:J$341)&lt;&gt;"",_xlfn.XLOOKUP($C106,ALL!$C$2:$C$341,ALL!J$2:J$341),"")</f>
        <v/>
      </c>
      <c r="J106" s="70" t="str">
        <f>IF(_xlfn.XLOOKUP($C106,ALL!$C$2:$C$341,ALL!K$2:K$341)&lt;&gt;"",_xlfn.XLOOKUP($C106,ALL!$C$2:$C$341,ALL!K$2:K$341),"")</f>
        <v/>
      </c>
      <c r="K106" s="4" t="str">
        <f>IF(_xlfn.XLOOKUP($C106,ALL!$C$2:$C$341,ALL!L$2:L$341)&lt;&gt;"",_xlfn.XLOOKUP($C106,ALL!$C$2:$C$341,ALL!L$2:L$341),"")</f>
        <v/>
      </c>
      <c r="L106" s="4" t="str">
        <f>IF(_xlfn.XLOOKUP($C106,ALL!$C$2:$C$341,ALL!M$2:M$341)&lt;&gt;"",_xlfn.XLOOKUP($C106,ALL!$C$2:$C$341,ALL!M$2:M$341),"")</f>
        <v/>
      </c>
      <c r="M106" s="4" t="str">
        <f>IF(_xlfn.XLOOKUP($C106,ALL!$C$2:$C$341,ALL!N$2:N$341)&lt;&gt;"",_xlfn.XLOOKUP($C106,ALL!$C$2:$C$341,ALL!N$2:N$341),"")</f>
        <v/>
      </c>
    </row>
    <row r="107" spans="1:13" ht="19.2" customHeight="1" x14ac:dyDescent="0.3">
      <c r="A107" s="100" t="str">
        <f t="shared" si="1"/>
        <v/>
      </c>
      <c r="B107" s="94" t="str">
        <f>IF(_xlfn.XLOOKUP($C107,ALL!$C$2:$C$341,ALL!B$2:B$341)&lt;&gt;"",_xlfn.XLOOKUP($C107,ALL!$C$2:$C$341,ALL!B$2:B$341),"")</f>
        <v/>
      </c>
      <c r="D107" s="69" t="str">
        <f>IF(_xlfn.XLOOKUP($C107,ALL!$C$2:$C$341,ALL!D$2:D$341)&lt;&gt;"",_xlfn.XLOOKUP($C107,ALL!$C$2:$C$341,ALL!D$2:D$341),"")</f>
        <v/>
      </c>
      <c r="E107" s="69" t="str">
        <f>IF(_xlfn.XLOOKUP($C107,ALL!$C$2:$C$341,ALL!F$2:F$341)&lt;&gt;"",_xlfn.XLOOKUP($C107,ALL!$C$2:$C$341,ALL!F$2:F$341),"")</f>
        <v/>
      </c>
      <c r="F107" s="69" t="str">
        <f>IF(_xlfn.XLOOKUP($C107,ALL!$C$2:$C$341,ALL!G$2:G$341)&lt;&gt;"",_xlfn.XLOOKUP($C107,ALL!$C$2:$C$341,ALL!G$2:G$341),"")</f>
        <v/>
      </c>
      <c r="G107" s="70" t="str">
        <f>IF(_xlfn.XLOOKUP($C107,ALL!$C$2:$C$341,ALL!H$2:H$341)&lt;&gt;"",_xlfn.XLOOKUP($C107,ALL!$C$2:$C$341,ALL!H$2:H$341),"")</f>
        <v/>
      </c>
      <c r="H107" s="69" t="str">
        <f>IF(_xlfn.XLOOKUP($C107,ALL!$C$2:$C$341,ALL!I$2:I$341)&lt;&gt;"",_xlfn.XLOOKUP($C107,ALL!$C$2:$C$341,ALL!I$2:I$341),"")</f>
        <v/>
      </c>
      <c r="I107" s="69" t="str">
        <f>IF(_xlfn.XLOOKUP($C107,ALL!$C$2:$C$341,ALL!J$2:J$341)&lt;&gt;"",_xlfn.XLOOKUP($C107,ALL!$C$2:$C$341,ALL!J$2:J$341),"")</f>
        <v/>
      </c>
      <c r="J107" s="70" t="str">
        <f>IF(_xlfn.XLOOKUP($C107,ALL!$C$2:$C$341,ALL!K$2:K$341)&lt;&gt;"",_xlfn.XLOOKUP($C107,ALL!$C$2:$C$341,ALL!K$2:K$341),"")</f>
        <v/>
      </c>
      <c r="K107" s="4" t="str">
        <f>IF(_xlfn.XLOOKUP($C107,ALL!$C$2:$C$341,ALL!L$2:L$341)&lt;&gt;"",_xlfn.XLOOKUP($C107,ALL!$C$2:$C$341,ALL!L$2:L$341),"")</f>
        <v/>
      </c>
      <c r="L107" s="4" t="str">
        <f>IF(_xlfn.XLOOKUP($C107,ALL!$C$2:$C$341,ALL!M$2:M$341)&lt;&gt;"",_xlfn.XLOOKUP($C107,ALL!$C$2:$C$341,ALL!M$2:M$341),"")</f>
        <v/>
      </c>
      <c r="M107" s="4" t="str">
        <f>IF(_xlfn.XLOOKUP($C107,ALL!$C$2:$C$341,ALL!N$2:N$341)&lt;&gt;"",_xlfn.XLOOKUP($C107,ALL!$C$2:$C$341,ALL!N$2:N$341),"")</f>
        <v/>
      </c>
    </row>
    <row r="108" spans="1:13" ht="19.2" customHeight="1" x14ac:dyDescent="0.3">
      <c r="A108" s="100" t="str">
        <f t="shared" ref="A108:A139" si="2">IF(C108="","",($A$1-G108)-365)</f>
        <v/>
      </c>
      <c r="B108" s="94" t="str">
        <f>IF(_xlfn.XLOOKUP($C108,ALL!$C$2:$C$341,ALL!B$2:B$341)&lt;&gt;"",_xlfn.XLOOKUP($C108,ALL!$C$2:$C$341,ALL!B$2:B$341),"")</f>
        <v/>
      </c>
      <c r="D108" s="69" t="str">
        <f>IF(_xlfn.XLOOKUP($C108,ALL!$C$2:$C$341,ALL!D$2:D$341)&lt;&gt;"",_xlfn.XLOOKUP($C108,ALL!$C$2:$C$341,ALL!D$2:D$341),"")</f>
        <v/>
      </c>
      <c r="E108" s="69" t="str">
        <f>IF(_xlfn.XLOOKUP($C108,ALL!$C$2:$C$341,ALL!F$2:F$341)&lt;&gt;"",_xlfn.XLOOKUP($C108,ALL!$C$2:$C$341,ALL!F$2:F$341),"")</f>
        <v/>
      </c>
      <c r="F108" s="69" t="str">
        <f>IF(_xlfn.XLOOKUP($C108,ALL!$C$2:$C$341,ALL!G$2:G$341)&lt;&gt;"",_xlfn.XLOOKUP($C108,ALL!$C$2:$C$341,ALL!G$2:G$341),"")</f>
        <v/>
      </c>
      <c r="G108" s="70" t="str">
        <f>IF(_xlfn.XLOOKUP($C108,ALL!$C$2:$C$341,ALL!H$2:H$341)&lt;&gt;"",_xlfn.XLOOKUP($C108,ALL!$C$2:$C$341,ALL!H$2:H$341),"")</f>
        <v/>
      </c>
      <c r="H108" s="69" t="str">
        <f>IF(_xlfn.XLOOKUP($C108,ALL!$C$2:$C$341,ALL!I$2:I$341)&lt;&gt;"",_xlfn.XLOOKUP($C108,ALL!$C$2:$C$341,ALL!I$2:I$341),"")</f>
        <v/>
      </c>
      <c r="I108" s="69" t="str">
        <f>IF(_xlfn.XLOOKUP($C108,ALL!$C$2:$C$341,ALL!J$2:J$341)&lt;&gt;"",_xlfn.XLOOKUP($C108,ALL!$C$2:$C$341,ALL!J$2:J$341),"")</f>
        <v/>
      </c>
      <c r="J108" s="70" t="str">
        <f>IF(_xlfn.XLOOKUP($C108,ALL!$C$2:$C$341,ALL!K$2:K$341)&lt;&gt;"",_xlfn.XLOOKUP($C108,ALL!$C$2:$C$341,ALL!K$2:K$341),"")</f>
        <v/>
      </c>
      <c r="K108" s="4" t="str">
        <f>IF(_xlfn.XLOOKUP($C108,ALL!$C$2:$C$341,ALL!L$2:L$341)&lt;&gt;"",_xlfn.XLOOKUP($C108,ALL!$C$2:$C$341,ALL!L$2:L$341),"")</f>
        <v/>
      </c>
      <c r="L108" s="4" t="str">
        <f>IF(_xlfn.XLOOKUP($C108,ALL!$C$2:$C$341,ALL!M$2:M$341)&lt;&gt;"",_xlfn.XLOOKUP($C108,ALL!$C$2:$C$341,ALL!M$2:M$341),"")</f>
        <v/>
      </c>
      <c r="M108" s="4" t="str">
        <f>IF(_xlfn.XLOOKUP($C108,ALL!$C$2:$C$341,ALL!N$2:N$341)&lt;&gt;"",_xlfn.XLOOKUP($C108,ALL!$C$2:$C$341,ALL!N$2:N$341),"")</f>
        <v/>
      </c>
    </row>
    <row r="109" spans="1:13" ht="19.2" customHeight="1" x14ac:dyDescent="0.3">
      <c r="A109" s="100" t="str">
        <f t="shared" si="2"/>
        <v/>
      </c>
      <c r="B109" s="94" t="str">
        <f>IF(_xlfn.XLOOKUP($C109,ALL!$C$2:$C$341,ALL!B$2:B$341)&lt;&gt;"",_xlfn.XLOOKUP($C109,ALL!$C$2:$C$341,ALL!B$2:B$341),"")</f>
        <v/>
      </c>
      <c r="D109" s="69" t="str">
        <f>IF(_xlfn.XLOOKUP($C109,ALL!$C$2:$C$341,ALL!D$2:D$341)&lt;&gt;"",_xlfn.XLOOKUP($C109,ALL!$C$2:$C$341,ALL!D$2:D$341),"")</f>
        <v/>
      </c>
      <c r="E109" s="69" t="str">
        <f>IF(_xlfn.XLOOKUP($C109,ALL!$C$2:$C$341,ALL!F$2:F$341)&lt;&gt;"",_xlfn.XLOOKUP($C109,ALL!$C$2:$C$341,ALL!F$2:F$341),"")</f>
        <v/>
      </c>
      <c r="F109" s="69" t="str">
        <f>IF(_xlfn.XLOOKUP($C109,ALL!$C$2:$C$341,ALL!G$2:G$341)&lt;&gt;"",_xlfn.XLOOKUP($C109,ALL!$C$2:$C$341,ALL!G$2:G$341),"")</f>
        <v/>
      </c>
      <c r="G109" s="70" t="str">
        <f>IF(_xlfn.XLOOKUP($C109,ALL!$C$2:$C$341,ALL!H$2:H$341)&lt;&gt;"",_xlfn.XLOOKUP($C109,ALL!$C$2:$C$341,ALL!H$2:H$341),"")</f>
        <v/>
      </c>
      <c r="H109" s="69" t="str">
        <f>IF(_xlfn.XLOOKUP($C109,ALL!$C$2:$C$341,ALL!I$2:I$341)&lt;&gt;"",_xlfn.XLOOKUP($C109,ALL!$C$2:$C$341,ALL!I$2:I$341),"")</f>
        <v/>
      </c>
      <c r="I109" s="69" t="str">
        <f>IF(_xlfn.XLOOKUP($C109,ALL!$C$2:$C$341,ALL!J$2:J$341)&lt;&gt;"",_xlfn.XLOOKUP($C109,ALL!$C$2:$C$341,ALL!J$2:J$341),"")</f>
        <v/>
      </c>
      <c r="J109" s="70" t="str">
        <f>IF(_xlfn.XLOOKUP($C109,ALL!$C$2:$C$341,ALL!K$2:K$341)&lt;&gt;"",_xlfn.XLOOKUP($C109,ALL!$C$2:$C$341,ALL!K$2:K$341),"")</f>
        <v/>
      </c>
      <c r="K109" s="4" t="str">
        <f>IF(_xlfn.XLOOKUP($C109,ALL!$C$2:$C$341,ALL!L$2:L$341)&lt;&gt;"",_xlfn.XLOOKUP($C109,ALL!$C$2:$C$341,ALL!L$2:L$341),"")</f>
        <v/>
      </c>
      <c r="L109" s="4" t="str">
        <f>IF(_xlfn.XLOOKUP($C109,ALL!$C$2:$C$341,ALL!M$2:M$341)&lt;&gt;"",_xlfn.XLOOKUP($C109,ALL!$C$2:$C$341,ALL!M$2:M$341),"")</f>
        <v/>
      </c>
      <c r="M109" s="4" t="str">
        <f>IF(_xlfn.XLOOKUP($C109,ALL!$C$2:$C$341,ALL!N$2:N$341)&lt;&gt;"",_xlfn.XLOOKUP($C109,ALL!$C$2:$C$341,ALL!N$2:N$341),"")</f>
        <v/>
      </c>
    </row>
    <row r="110" spans="1:13" ht="19.2" customHeight="1" x14ac:dyDescent="0.3">
      <c r="A110" s="100" t="str">
        <f t="shared" si="2"/>
        <v/>
      </c>
      <c r="B110" s="94" t="str">
        <f>IF(_xlfn.XLOOKUP($C110,ALL!$C$2:$C$341,ALL!B$2:B$341)&lt;&gt;"",_xlfn.XLOOKUP($C110,ALL!$C$2:$C$341,ALL!B$2:B$341),"")</f>
        <v/>
      </c>
      <c r="D110" s="69" t="str">
        <f>IF(_xlfn.XLOOKUP($C110,ALL!$C$2:$C$341,ALL!D$2:D$341)&lt;&gt;"",_xlfn.XLOOKUP($C110,ALL!$C$2:$C$341,ALL!D$2:D$341),"")</f>
        <v/>
      </c>
      <c r="E110" s="69" t="str">
        <f>IF(_xlfn.XLOOKUP($C110,ALL!$C$2:$C$341,ALL!F$2:F$341)&lt;&gt;"",_xlfn.XLOOKUP($C110,ALL!$C$2:$C$341,ALL!F$2:F$341),"")</f>
        <v/>
      </c>
      <c r="F110" s="69" t="str">
        <f>IF(_xlfn.XLOOKUP($C110,ALL!$C$2:$C$341,ALL!G$2:G$341)&lt;&gt;"",_xlfn.XLOOKUP($C110,ALL!$C$2:$C$341,ALL!G$2:G$341),"")</f>
        <v/>
      </c>
      <c r="G110" s="70" t="str">
        <f>IF(_xlfn.XLOOKUP($C110,ALL!$C$2:$C$341,ALL!H$2:H$341)&lt;&gt;"",_xlfn.XLOOKUP($C110,ALL!$C$2:$C$341,ALL!H$2:H$341),"")</f>
        <v/>
      </c>
      <c r="H110" s="69" t="str">
        <f>IF(_xlfn.XLOOKUP($C110,ALL!$C$2:$C$341,ALL!I$2:I$341)&lt;&gt;"",_xlfn.XLOOKUP($C110,ALL!$C$2:$C$341,ALL!I$2:I$341),"")</f>
        <v/>
      </c>
      <c r="I110" s="69" t="str">
        <f>IF(_xlfn.XLOOKUP($C110,ALL!$C$2:$C$341,ALL!J$2:J$341)&lt;&gt;"",_xlfn.XLOOKUP($C110,ALL!$C$2:$C$341,ALL!J$2:J$341),"")</f>
        <v/>
      </c>
      <c r="J110" s="70" t="str">
        <f>IF(_xlfn.XLOOKUP($C110,ALL!$C$2:$C$341,ALL!K$2:K$341)&lt;&gt;"",_xlfn.XLOOKUP($C110,ALL!$C$2:$C$341,ALL!K$2:K$341),"")</f>
        <v/>
      </c>
      <c r="K110" s="4" t="str">
        <f>IF(_xlfn.XLOOKUP($C110,ALL!$C$2:$C$341,ALL!L$2:L$341)&lt;&gt;"",_xlfn.XLOOKUP($C110,ALL!$C$2:$C$341,ALL!L$2:L$341),"")</f>
        <v/>
      </c>
      <c r="L110" s="4" t="str">
        <f>IF(_xlfn.XLOOKUP($C110,ALL!$C$2:$C$341,ALL!M$2:M$341)&lt;&gt;"",_xlfn.XLOOKUP($C110,ALL!$C$2:$C$341,ALL!M$2:M$341),"")</f>
        <v/>
      </c>
      <c r="M110" s="4" t="str">
        <f>IF(_xlfn.XLOOKUP($C110,ALL!$C$2:$C$341,ALL!N$2:N$341)&lt;&gt;"",_xlfn.XLOOKUP($C110,ALL!$C$2:$C$341,ALL!N$2:N$341),"")</f>
        <v/>
      </c>
    </row>
    <row r="111" spans="1:13" ht="19.2" customHeight="1" x14ac:dyDescent="0.3">
      <c r="A111" s="100" t="str">
        <f t="shared" si="2"/>
        <v/>
      </c>
      <c r="B111" s="94" t="str">
        <f>IF(_xlfn.XLOOKUP($C111,ALL!$C$2:$C$341,ALL!B$2:B$341)&lt;&gt;"",_xlfn.XLOOKUP($C111,ALL!$C$2:$C$341,ALL!B$2:B$341),"")</f>
        <v/>
      </c>
      <c r="D111" s="69" t="str">
        <f>IF(_xlfn.XLOOKUP($C111,ALL!$C$2:$C$341,ALL!D$2:D$341)&lt;&gt;"",_xlfn.XLOOKUP($C111,ALL!$C$2:$C$341,ALL!D$2:D$341),"")</f>
        <v/>
      </c>
      <c r="E111" s="69" t="str">
        <f>IF(_xlfn.XLOOKUP($C111,ALL!$C$2:$C$341,ALL!F$2:F$341)&lt;&gt;"",_xlfn.XLOOKUP($C111,ALL!$C$2:$C$341,ALL!F$2:F$341),"")</f>
        <v/>
      </c>
      <c r="F111" s="69" t="str">
        <f>IF(_xlfn.XLOOKUP($C111,ALL!$C$2:$C$341,ALL!G$2:G$341)&lt;&gt;"",_xlfn.XLOOKUP($C111,ALL!$C$2:$C$341,ALL!G$2:G$341),"")</f>
        <v/>
      </c>
      <c r="G111" s="70" t="str">
        <f>IF(_xlfn.XLOOKUP($C111,ALL!$C$2:$C$341,ALL!H$2:H$341)&lt;&gt;"",_xlfn.XLOOKUP($C111,ALL!$C$2:$C$341,ALL!H$2:H$341),"")</f>
        <v/>
      </c>
      <c r="H111" s="69" t="str">
        <f>IF(_xlfn.XLOOKUP($C111,ALL!$C$2:$C$341,ALL!I$2:I$341)&lt;&gt;"",_xlfn.XLOOKUP($C111,ALL!$C$2:$C$341,ALL!I$2:I$341),"")</f>
        <v/>
      </c>
      <c r="I111" s="69" t="str">
        <f>IF(_xlfn.XLOOKUP($C111,ALL!$C$2:$C$341,ALL!J$2:J$341)&lt;&gt;"",_xlfn.XLOOKUP($C111,ALL!$C$2:$C$341,ALL!J$2:J$341),"")</f>
        <v/>
      </c>
      <c r="J111" s="70" t="str">
        <f>IF(_xlfn.XLOOKUP($C111,ALL!$C$2:$C$341,ALL!K$2:K$341)&lt;&gt;"",_xlfn.XLOOKUP($C111,ALL!$C$2:$C$341,ALL!K$2:K$341),"")</f>
        <v/>
      </c>
      <c r="K111" s="4" t="str">
        <f>IF(_xlfn.XLOOKUP($C111,ALL!$C$2:$C$341,ALL!L$2:L$341)&lt;&gt;"",_xlfn.XLOOKUP($C111,ALL!$C$2:$C$341,ALL!L$2:L$341),"")</f>
        <v/>
      </c>
      <c r="L111" s="4" t="str">
        <f>IF(_xlfn.XLOOKUP($C111,ALL!$C$2:$C$341,ALL!M$2:M$341)&lt;&gt;"",_xlfn.XLOOKUP($C111,ALL!$C$2:$C$341,ALL!M$2:M$341),"")</f>
        <v/>
      </c>
      <c r="M111" s="4" t="str">
        <f>IF(_xlfn.XLOOKUP($C111,ALL!$C$2:$C$341,ALL!N$2:N$341)&lt;&gt;"",_xlfn.XLOOKUP($C111,ALL!$C$2:$C$341,ALL!N$2:N$341),"")</f>
        <v/>
      </c>
    </row>
    <row r="112" spans="1:13" ht="19.2" customHeight="1" x14ac:dyDescent="0.3">
      <c r="A112" s="100" t="str">
        <f t="shared" si="2"/>
        <v/>
      </c>
      <c r="B112" s="94" t="str">
        <f>IF(_xlfn.XLOOKUP($C112,ALL!$C$2:$C$341,ALL!B$2:B$341)&lt;&gt;"",_xlfn.XLOOKUP($C112,ALL!$C$2:$C$341,ALL!B$2:B$341),"")</f>
        <v/>
      </c>
      <c r="D112" s="69" t="str">
        <f>IF(_xlfn.XLOOKUP($C112,ALL!$C$2:$C$341,ALL!D$2:D$341)&lt;&gt;"",_xlfn.XLOOKUP($C112,ALL!$C$2:$C$341,ALL!D$2:D$341),"")</f>
        <v/>
      </c>
      <c r="E112" s="69" t="str">
        <f>IF(_xlfn.XLOOKUP($C112,ALL!$C$2:$C$341,ALL!F$2:F$341)&lt;&gt;"",_xlfn.XLOOKUP($C112,ALL!$C$2:$C$341,ALL!F$2:F$341),"")</f>
        <v/>
      </c>
      <c r="F112" s="69" t="str">
        <f>IF(_xlfn.XLOOKUP($C112,ALL!$C$2:$C$341,ALL!G$2:G$341)&lt;&gt;"",_xlfn.XLOOKUP($C112,ALL!$C$2:$C$341,ALL!G$2:G$341),"")</f>
        <v/>
      </c>
      <c r="G112" s="70" t="str">
        <f>IF(_xlfn.XLOOKUP($C112,ALL!$C$2:$C$341,ALL!H$2:H$341)&lt;&gt;"",_xlfn.XLOOKUP($C112,ALL!$C$2:$C$341,ALL!H$2:H$341),"")</f>
        <v/>
      </c>
      <c r="H112" s="69" t="str">
        <f>IF(_xlfn.XLOOKUP($C112,ALL!$C$2:$C$341,ALL!I$2:I$341)&lt;&gt;"",_xlfn.XLOOKUP($C112,ALL!$C$2:$C$341,ALL!I$2:I$341),"")</f>
        <v/>
      </c>
      <c r="I112" s="69" t="str">
        <f>IF(_xlfn.XLOOKUP($C112,ALL!$C$2:$C$341,ALL!J$2:J$341)&lt;&gt;"",_xlfn.XLOOKUP($C112,ALL!$C$2:$C$341,ALL!J$2:J$341),"")</f>
        <v/>
      </c>
      <c r="J112" s="70" t="str">
        <f>IF(_xlfn.XLOOKUP($C112,ALL!$C$2:$C$341,ALL!K$2:K$341)&lt;&gt;"",_xlfn.XLOOKUP($C112,ALL!$C$2:$C$341,ALL!K$2:K$341),"")</f>
        <v/>
      </c>
      <c r="K112" s="4" t="str">
        <f>IF(_xlfn.XLOOKUP($C112,ALL!$C$2:$C$341,ALL!L$2:L$341)&lt;&gt;"",_xlfn.XLOOKUP($C112,ALL!$C$2:$C$341,ALL!L$2:L$341),"")</f>
        <v/>
      </c>
      <c r="L112" s="4" t="str">
        <f>IF(_xlfn.XLOOKUP($C112,ALL!$C$2:$C$341,ALL!M$2:M$341)&lt;&gt;"",_xlfn.XLOOKUP($C112,ALL!$C$2:$C$341,ALL!M$2:M$341),"")</f>
        <v/>
      </c>
      <c r="M112" s="4" t="str">
        <f>IF(_xlfn.XLOOKUP($C112,ALL!$C$2:$C$341,ALL!N$2:N$341)&lt;&gt;"",_xlfn.XLOOKUP($C112,ALL!$C$2:$C$341,ALL!N$2:N$341),"")</f>
        <v/>
      </c>
    </row>
    <row r="113" spans="1:13" ht="19.2" customHeight="1" x14ac:dyDescent="0.3">
      <c r="A113" s="100" t="str">
        <f t="shared" si="2"/>
        <v/>
      </c>
      <c r="B113" s="94" t="str">
        <f>IF(_xlfn.XLOOKUP($C113,ALL!$C$2:$C$341,ALL!B$2:B$341)&lt;&gt;"",_xlfn.XLOOKUP($C113,ALL!$C$2:$C$341,ALL!B$2:B$341),"")</f>
        <v/>
      </c>
      <c r="D113" s="69" t="str">
        <f>IF(_xlfn.XLOOKUP($C113,ALL!$C$2:$C$341,ALL!D$2:D$341)&lt;&gt;"",_xlfn.XLOOKUP($C113,ALL!$C$2:$C$341,ALL!D$2:D$341),"")</f>
        <v/>
      </c>
      <c r="E113" s="69" t="str">
        <f>IF(_xlfn.XLOOKUP($C113,ALL!$C$2:$C$341,ALL!F$2:F$341)&lt;&gt;"",_xlfn.XLOOKUP($C113,ALL!$C$2:$C$341,ALL!F$2:F$341),"")</f>
        <v/>
      </c>
      <c r="F113" s="69" t="str">
        <f>IF(_xlfn.XLOOKUP($C113,ALL!$C$2:$C$341,ALL!G$2:G$341)&lt;&gt;"",_xlfn.XLOOKUP($C113,ALL!$C$2:$C$341,ALL!G$2:G$341),"")</f>
        <v/>
      </c>
      <c r="G113" s="70" t="str">
        <f>IF(_xlfn.XLOOKUP($C113,ALL!$C$2:$C$341,ALL!H$2:H$341)&lt;&gt;"",_xlfn.XLOOKUP($C113,ALL!$C$2:$C$341,ALL!H$2:H$341),"")</f>
        <v/>
      </c>
      <c r="H113" s="69" t="str">
        <f>IF(_xlfn.XLOOKUP($C113,ALL!$C$2:$C$341,ALL!I$2:I$341)&lt;&gt;"",_xlfn.XLOOKUP($C113,ALL!$C$2:$C$341,ALL!I$2:I$341),"")</f>
        <v/>
      </c>
      <c r="I113" s="69" t="str">
        <f>IF(_xlfn.XLOOKUP($C113,ALL!$C$2:$C$341,ALL!J$2:J$341)&lt;&gt;"",_xlfn.XLOOKUP($C113,ALL!$C$2:$C$341,ALL!J$2:J$341),"")</f>
        <v/>
      </c>
      <c r="J113" s="70" t="str">
        <f>IF(_xlfn.XLOOKUP($C113,ALL!$C$2:$C$341,ALL!K$2:K$341)&lt;&gt;"",_xlfn.XLOOKUP($C113,ALL!$C$2:$C$341,ALL!K$2:K$341),"")</f>
        <v/>
      </c>
      <c r="K113" s="4" t="str">
        <f>IF(_xlfn.XLOOKUP($C113,ALL!$C$2:$C$341,ALL!L$2:L$341)&lt;&gt;"",_xlfn.XLOOKUP($C113,ALL!$C$2:$C$341,ALL!L$2:L$341),"")</f>
        <v/>
      </c>
      <c r="L113" s="4" t="str">
        <f>IF(_xlfn.XLOOKUP($C113,ALL!$C$2:$C$341,ALL!M$2:M$341)&lt;&gt;"",_xlfn.XLOOKUP($C113,ALL!$C$2:$C$341,ALL!M$2:M$341),"")</f>
        <v/>
      </c>
      <c r="M113" s="4" t="str">
        <f>IF(_xlfn.XLOOKUP($C113,ALL!$C$2:$C$341,ALL!N$2:N$341)&lt;&gt;"",_xlfn.XLOOKUP($C113,ALL!$C$2:$C$341,ALL!N$2:N$341),"")</f>
        <v/>
      </c>
    </row>
    <row r="114" spans="1:13" ht="19.2" customHeight="1" x14ac:dyDescent="0.3">
      <c r="A114" s="100" t="str">
        <f t="shared" si="2"/>
        <v/>
      </c>
      <c r="B114" s="94" t="str">
        <f>IF(_xlfn.XLOOKUP($C114,ALL!$C$2:$C$341,ALL!B$2:B$341)&lt;&gt;"",_xlfn.XLOOKUP($C114,ALL!$C$2:$C$341,ALL!B$2:B$341),"")</f>
        <v/>
      </c>
      <c r="D114" s="69" t="str">
        <f>IF(_xlfn.XLOOKUP($C114,ALL!$C$2:$C$341,ALL!D$2:D$341)&lt;&gt;"",_xlfn.XLOOKUP($C114,ALL!$C$2:$C$341,ALL!D$2:D$341),"")</f>
        <v/>
      </c>
      <c r="E114" s="69" t="str">
        <f>IF(_xlfn.XLOOKUP($C114,ALL!$C$2:$C$341,ALL!F$2:F$341)&lt;&gt;"",_xlfn.XLOOKUP($C114,ALL!$C$2:$C$341,ALL!F$2:F$341),"")</f>
        <v/>
      </c>
      <c r="F114" s="69" t="str">
        <f>IF(_xlfn.XLOOKUP($C114,ALL!$C$2:$C$341,ALL!G$2:G$341)&lt;&gt;"",_xlfn.XLOOKUP($C114,ALL!$C$2:$C$341,ALL!G$2:G$341),"")</f>
        <v/>
      </c>
      <c r="G114" s="70" t="str">
        <f>IF(_xlfn.XLOOKUP($C114,ALL!$C$2:$C$341,ALL!H$2:H$341)&lt;&gt;"",_xlfn.XLOOKUP($C114,ALL!$C$2:$C$341,ALL!H$2:H$341),"")</f>
        <v/>
      </c>
      <c r="H114" s="69" t="str">
        <f>IF(_xlfn.XLOOKUP($C114,ALL!$C$2:$C$341,ALL!I$2:I$341)&lt;&gt;"",_xlfn.XLOOKUP($C114,ALL!$C$2:$C$341,ALL!I$2:I$341),"")</f>
        <v/>
      </c>
      <c r="I114" s="69" t="str">
        <f>IF(_xlfn.XLOOKUP($C114,ALL!$C$2:$C$341,ALL!J$2:J$341)&lt;&gt;"",_xlfn.XLOOKUP($C114,ALL!$C$2:$C$341,ALL!J$2:J$341),"")</f>
        <v/>
      </c>
      <c r="J114" s="70" t="str">
        <f>IF(_xlfn.XLOOKUP($C114,ALL!$C$2:$C$341,ALL!K$2:K$341)&lt;&gt;"",_xlfn.XLOOKUP($C114,ALL!$C$2:$C$341,ALL!K$2:K$341),"")</f>
        <v/>
      </c>
      <c r="K114" s="4" t="str">
        <f>IF(_xlfn.XLOOKUP($C114,ALL!$C$2:$C$341,ALL!L$2:L$341)&lt;&gt;"",_xlfn.XLOOKUP($C114,ALL!$C$2:$C$341,ALL!L$2:L$341),"")</f>
        <v/>
      </c>
      <c r="L114" s="4" t="str">
        <f>IF(_xlfn.XLOOKUP($C114,ALL!$C$2:$C$341,ALL!M$2:M$341)&lt;&gt;"",_xlfn.XLOOKUP($C114,ALL!$C$2:$C$341,ALL!M$2:M$341),"")</f>
        <v/>
      </c>
      <c r="M114" s="4" t="str">
        <f>IF(_xlfn.XLOOKUP($C114,ALL!$C$2:$C$341,ALL!N$2:N$341)&lt;&gt;"",_xlfn.XLOOKUP($C114,ALL!$C$2:$C$341,ALL!N$2:N$341),"")</f>
        <v/>
      </c>
    </row>
    <row r="115" spans="1:13" ht="19.2" customHeight="1" x14ac:dyDescent="0.3">
      <c r="A115" s="100" t="str">
        <f t="shared" si="2"/>
        <v/>
      </c>
      <c r="B115" s="94" t="str">
        <f>IF(_xlfn.XLOOKUP($C115,ALL!$C$2:$C$341,ALL!B$2:B$341)&lt;&gt;"",_xlfn.XLOOKUP($C115,ALL!$C$2:$C$341,ALL!B$2:B$341),"")</f>
        <v/>
      </c>
      <c r="D115" s="69" t="str">
        <f>IF(_xlfn.XLOOKUP($C115,ALL!$C$2:$C$341,ALL!D$2:D$341)&lt;&gt;"",_xlfn.XLOOKUP($C115,ALL!$C$2:$C$341,ALL!D$2:D$341),"")</f>
        <v/>
      </c>
      <c r="E115" s="69" t="str">
        <f>IF(_xlfn.XLOOKUP($C115,ALL!$C$2:$C$341,ALL!F$2:F$341)&lt;&gt;"",_xlfn.XLOOKUP($C115,ALL!$C$2:$C$341,ALL!F$2:F$341),"")</f>
        <v/>
      </c>
      <c r="F115" s="69" t="str">
        <f>IF(_xlfn.XLOOKUP($C115,ALL!$C$2:$C$341,ALL!G$2:G$341)&lt;&gt;"",_xlfn.XLOOKUP($C115,ALL!$C$2:$C$341,ALL!G$2:G$341),"")</f>
        <v/>
      </c>
      <c r="G115" s="70" t="str">
        <f>IF(_xlfn.XLOOKUP($C115,ALL!$C$2:$C$341,ALL!H$2:H$341)&lt;&gt;"",_xlfn.XLOOKUP($C115,ALL!$C$2:$C$341,ALL!H$2:H$341),"")</f>
        <v/>
      </c>
      <c r="H115" s="69" t="str">
        <f>IF(_xlfn.XLOOKUP($C115,ALL!$C$2:$C$341,ALL!I$2:I$341)&lt;&gt;"",_xlfn.XLOOKUP($C115,ALL!$C$2:$C$341,ALL!I$2:I$341),"")</f>
        <v/>
      </c>
      <c r="I115" s="69" t="str">
        <f>IF(_xlfn.XLOOKUP($C115,ALL!$C$2:$C$341,ALL!J$2:J$341)&lt;&gt;"",_xlfn.XLOOKUP($C115,ALL!$C$2:$C$341,ALL!J$2:J$341),"")</f>
        <v/>
      </c>
      <c r="J115" s="70" t="str">
        <f>IF(_xlfn.XLOOKUP($C115,ALL!$C$2:$C$341,ALL!K$2:K$341)&lt;&gt;"",_xlfn.XLOOKUP($C115,ALL!$C$2:$C$341,ALL!K$2:K$341),"")</f>
        <v/>
      </c>
      <c r="K115" s="4" t="str">
        <f>IF(_xlfn.XLOOKUP($C115,ALL!$C$2:$C$341,ALL!L$2:L$341)&lt;&gt;"",_xlfn.XLOOKUP($C115,ALL!$C$2:$C$341,ALL!L$2:L$341),"")</f>
        <v/>
      </c>
      <c r="L115" s="4" t="str">
        <f>IF(_xlfn.XLOOKUP($C115,ALL!$C$2:$C$341,ALL!M$2:M$341)&lt;&gt;"",_xlfn.XLOOKUP($C115,ALL!$C$2:$C$341,ALL!M$2:M$341),"")</f>
        <v/>
      </c>
      <c r="M115" s="4" t="str">
        <f>IF(_xlfn.XLOOKUP($C115,ALL!$C$2:$C$341,ALL!N$2:N$341)&lt;&gt;"",_xlfn.XLOOKUP($C115,ALL!$C$2:$C$341,ALL!N$2:N$341),"")</f>
        <v/>
      </c>
    </row>
    <row r="116" spans="1:13" ht="19.2" customHeight="1" x14ac:dyDescent="0.3">
      <c r="A116" s="100" t="str">
        <f t="shared" si="2"/>
        <v/>
      </c>
      <c r="B116" s="94" t="str">
        <f>IF(_xlfn.XLOOKUP($C116,ALL!$C$2:$C$341,ALL!B$2:B$341)&lt;&gt;"",_xlfn.XLOOKUP($C116,ALL!$C$2:$C$341,ALL!B$2:B$341),"")</f>
        <v/>
      </c>
      <c r="D116" s="69" t="str">
        <f>IF(_xlfn.XLOOKUP($C116,ALL!$C$2:$C$341,ALL!D$2:D$341)&lt;&gt;"",_xlfn.XLOOKUP($C116,ALL!$C$2:$C$341,ALL!D$2:D$341),"")</f>
        <v/>
      </c>
      <c r="E116" s="69" t="str">
        <f>IF(_xlfn.XLOOKUP($C116,ALL!$C$2:$C$341,ALL!F$2:F$341)&lt;&gt;"",_xlfn.XLOOKUP($C116,ALL!$C$2:$C$341,ALL!F$2:F$341),"")</f>
        <v/>
      </c>
      <c r="F116" s="69" t="str">
        <f>IF(_xlfn.XLOOKUP($C116,ALL!$C$2:$C$341,ALL!G$2:G$341)&lt;&gt;"",_xlfn.XLOOKUP($C116,ALL!$C$2:$C$341,ALL!G$2:G$341),"")</f>
        <v/>
      </c>
      <c r="G116" s="70" t="str">
        <f>IF(_xlfn.XLOOKUP($C116,ALL!$C$2:$C$341,ALL!H$2:H$341)&lt;&gt;"",_xlfn.XLOOKUP($C116,ALL!$C$2:$C$341,ALL!H$2:H$341),"")</f>
        <v/>
      </c>
      <c r="H116" s="69" t="str">
        <f>IF(_xlfn.XLOOKUP($C116,ALL!$C$2:$C$341,ALL!I$2:I$341)&lt;&gt;"",_xlfn.XLOOKUP($C116,ALL!$C$2:$C$341,ALL!I$2:I$341),"")</f>
        <v/>
      </c>
      <c r="I116" s="69" t="str">
        <f>IF(_xlfn.XLOOKUP($C116,ALL!$C$2:$C$341,ALL!J$2:J$341)&lt;&gt;"",_xlfn.XLOOKUP($C116,ALL!$C$2:$C$341,ALL!J$2:J$341),"")</f>
        <v/>
      </c>
      <c r="J116" s="70" t="str">
        <f>IF(_xlfn.XLOOKUP($C116,ALL!$C$2:$C$341,ALL!K$2:K$341)&lt;&gt;"",_xlfn.XLOOKUP($C116,ALL!$C$2:$C$341,ALL!K$2:K$341),"")</f>
        <v/>
      </c>
      <c r="K116" s="4" t="str">
        <f>IF(_xlfn.XLOOKUP($C116,ALL!$C$2:$C$341,ALL!L$2:L$341)&lt;&gt;"",_xlfn.XLOOKUP($C116,ALL!$C$2:$C$341,ALL!L$2:L$341),"")</f>
        <v/>
      </c>
      <c r="L116" s="4" t="str">
        <f>IF(_xlfn.XLOOKUP($C116,ALL!$C$2:$C$341,ALL!M$2:M$341)&lt;&gt;"",_xlfn.XLOOKUP($C116,ALL!$C$2:$C$341,ALL!M$2:M$341),"")</f>
        <v/>
      </c>
      <c r="M116" s="4" t="str">
        <f>IF(_xlfn.XLOOKUP($C116,ALL!$C$2:$C$341,ALL!N$2:N$341)&lt;&gt;"",_xlfn.XLOOKUP($C116,ALL!$C$2:$C$341,ALL!N$2:N$341),"")</f>
        <v/>
      </c>
    </row>
    <row r="117" spans="1:13" ht="19.2" customHeight="1" x14ac:dyDescent="0.3">
      <c r="A117" s="100" t="str">
        <f t="shared" si="2"/>
        <v/>
      </c>
      <c r="B117" s="94" t="str">
        <f>IF(_xlfn.XLOOKUP($C117,ALL!$C$2:$C$341,ALL!B$2:B$341)&lt;&gt;"",_xlfn.XLOOKUP($C117,ALL!$C$2:$C$341,ALL!B$2:B$341),"")</f>
        <v/>
      </c>
      <c r="D117" s="69" t="str">
        <f>IF(_xlfn.XLOOKUP($C117,ALL!$C$2:$C$341,ALL!D$2:D$341)&lt;&gt;"",_xlfn.XLOOKUP($C117,ALL!$C$2:$C$341,ALL!D$2:D$341),"")</f>
        <v/>
      </c>
      <c r="E117" s="69" t="str">
        <f>IF(_xlfn.XLOOKUP($C117,ALL!$C$2:$C$341,ALL!F$2:F$341)&lt;&gt;"",_xlfn.XLOOKUP($C117,ALL!$C$2:$C$341,ALL!F$2:F$341),"")</f>
        <v/>
      </c>
      <c r="F117" s="69" t="str">
        <f>IF(_xlfn.XLOOKUP($C117,ALL!$C$2:$C$341,ALL!G$2:G$341)&lt;&gt;"",_xlfn.XLOOKUP($C117,ALL!$C$2:$C$341,ALL!G$2:G$341),"")</f>
        <v/>
      </c>
      <c r="G117" s="70" t="str">
        <f>IF(_xlfn.XLOOKUP($C117,ALL!$C$2:$C$341,ALL!H$2:H$341)&lt;&gt;"",_xlfn.XLOOKUP($C117,ALL!$C$2:$C$341,ALL!H$2:H$341),"")</f>
        <v/>
      </c>
      <c r="H117" s="69" t="str">
        <f>IF(_xlfn.XLOOKUP($C117,ALL!$C$2:$C$341,ALL!I$2:I$341)&lt;&gt;"",_xlfn.XLOOKUP($C117,ALL!$C$2:$C$341,ALL!I$2:I$341),"")</f>
        <v/>
      </c>
      <c r="I117" s="69" t="str">
        <f>IF(_xlfn.XLOOKUP($C117,ALL!$C$2:$C$341,ALL!J$2:J$341)&lt;&gt;"",_xlfn.XLOOKUP($C117,ALL!$C$2:$C$341,ALL!J$2:J$341),"")</f>
        <v/>
      </c>
      <c r="J117" s="70" t="str">
        <f>IF(_xlfn.XLOOKUP($C117,ALL!$C$2:$C$341,ALL!K$2:K$341)&lt;&gt;"",_xlfn.XLOOKUP($C117,ALL!$C$2:$C$341,ALL!K$2:K$341),"")</f>
        <v/>
      </c>
      <c r="K117" s="4" t="str">
        <f>IF(_xlfn.XLOOKUP($C117,ALL!$C$2:$C$341,ALL!L$2:L$341)&lt;&gt;"",_xlfn.XLOOKUP($C117,ALL!$C$2:$C$341,ALL!L$2:L$341),"")</f>
        <v/>
      </c>
      <c r="L117" s="4" t="str">
        <f>IF(_xlfn.XLOOKUP($C117,ALL!$C$2:$C$341,ALL!M$2:M$341)&lt;&gt;"",_xlfn.XLOOKUP($C117,ALL!$C$2:$C$341,ALL!M$2:M$341),"")</f>
        <v/>
      </c>
      <c r="M117" s="4" t="str">
        <f>IF(_xlfn.XLOOKUP($C117,ALL!$C$2:$C$341,ALL!N$2:N$341)&lt;&gt;"",_xlfn.XLOOKUP($C117,ALL!$C$2:$C$341,ALL!N$2:N$341),"")</f>
        <v/>
      </c>
    </row>
    <row r="118" spans="1:13" ht="19.2" customHeight="1" x14ac:dyDescent="0.3">
      <c r="A118" s="100" t="str">
        <f t="shared" si="2"/>
        <v/>
      </c>
      <c r="B118" s="94" t="str">
        <f>IF(_xlfn.XLOOKUP($C118,ALL!$C$2:$C$341,ALL!B$2:B$341)&lt;&gt;"",_xlfn.XLOOKUP($C118,ALL!$C$2:$C$341,ALL!B$2:B$341),"")</f>
        <v/>
      </c>
      <c r="D118" s="69" t="str">
        <f>IF(_xlfn.XLOOKUP($C118,ALL!$C$2:$C$341,ALL!D$2:D$341)&lt;&gt;"",_xlfn.XLOOKUP($C118,ALL!$C$2:$C$341,ALL!D$2:D$341),"")</f>
        <v/>
      </c>
      <c r="E118" s="69" t="str">
        <f>IF(_xlfn.XLOOKUP($C118,ALL!$C$2:$C$341,ALL!F$2:F$341)&lt;&gt;"",_xlfn.XLOOKUP($C118,ALL!$C$2:$C$341,ALL!F$2:F$341),"")</f>
        <v/>
      </c>
      <c r="F118" s="69" t="str">
        <f>IF(_xlfn.XLOOKUP($C118,ALL!$C$2:$C$341,ALL!G$2:G$341)&lt;&gt;"",_xlfn.XLOOKUP($C118,ALL!$C$2:$C$341,ALL!G$2:G$341),"")</f>
        <v/>
      </c>
      <c r="G118" s="70" t="str">
        <f>IF(_xlfn.XLOOKUP($C118,ALL!$C$2:$C$341,ALL!H$2:H$341)&lt;&gt;"",_xlfn.XLOOKUP($C118,ALL!$C$2:$C$341,ALL!H$2:H$341),"")</f>
        <v/>
      </c>
      <c r="H118" s="69" t="str">
        <f>IF(_xlfn.XLOOKUP($C118,ALL!$C$2:$C$341,ALL!I$2:I$341)&lt;&gt;"",_xlfn.XLOOKUP($C118,ALL!$C$2:$C$341,ALL!I$2:I$341),"")</f>
        <v/>
      </c>
      <c r="I118" s="69" t="str">
        <f>IF(_xlfn.XLOOKUP($C118,ALL!$C$2:$C$341,ALL!J$2:J$341)&lt;&gt;"",_xlfn.XLOOKUP($C118,ALL!$C$2:$C$341,ALL!J$2:J$341),"")</f>
        <v/>
      </c>
      <c r="J118" s="70" t="str">
        <f>IF(_xlfn.XLOOKUP($C118,ALL!$C$2:$C$341,ALL!K$2:K$341)&lt;&gt;"",_xlfn.XLOOKUP($C118,ALL!$C$2:$C$341,ALL!K$2:K$341),"")</f>
        <v/>
      </c>
      <c r="K118" s="4" t="str">
        <f>IF(_xlfn.XLOOKUP($C118,ALL!$C$2:$C$341,ALL!L$2:L$341)&lt;&gt;"",_xlfn.XLOOKUP($C118,ALL!$C$2:$C$341,ALL!L$2:L$341),"")</f>
        <v/>
      </c>
      <c r="L118" s="4" t="str">
        <f>IF(_xlfn.XLOOKUP($C118,ALL!$C$2:$C$341,ALL!M$2:M$341)&lt;&gt;"",_xlfn.XLOOKUP($C118,ALL!$C$2:$C$341,ALL!M$2:M$341),"")</f>
        <v/>
      </c>
      <c r="M118" s="4" t="str">
        <f>IF(_xlfn.XLOOKUP($C118,ALL!$C$2:$C$341,ALL!N$2:N$341)&lt;&gt;"",_xlfn.XLOOKUP($C118,ALL!$C$2:$C$341,ALL!N$2:N$341),"")</f>
        <v/>
      </c>
    </row>
    <row r="119" spans="1:13" ht="19.2" customHeight="1" x14ac:dyDescent="0.3">
      <c r="A119" s="100" t="str">
        <f t="shared" si="2"/>
        <v/>
      </c>
      <c r="B119" s="94" t="str">
        <f>IF(_xlfn.XLOOKUP($C119,ALL!$C$2:$C$341,ALL!B$2:B$341)&lt;&gt;"",_xlfn.XLOOKUP($C119,ALL!$C$2:$C$341,ALL!B$2:B$341),"")</f>
        <v/>
      </c>
      <c r="D119" s="69" t="str">
        <f>IF(_xlfn.XLOOKUP($C119,ALL!$C$2:$C$341,ALL!D$2:D$341)&lt;&gt;"",_xlfn.XLOOKUP($C119,ALL!$C$2:$C$341,ALL!D$2:D$341),"")</f>
        <v/>
      </c>
      <c r="E119" s="69" t="str">
        <f>IF(_xlfn.XLOOKUP($C119,ALL!$C$2:$C$341,ALL!F$2:F$341)&lt;&gt;"",_xlfn.XLOOKUP($C119,ALL!$C$2:$C$341,ALL!F$2:F$341),"")</f>
        <v/>
      </c>
      <c r="F119" s="69" t="str">
        <f>IF(_xlfn.XLOOKUP($C119,ALL!$C$2:$C$341,ALL!G$2:G$341)&lt;&gt;"",_xlfn.XLOOKUP($C119,ALL!$C$2:$C$341,ALL!G$2:G$341),"")</f>
        <v/>
      </c>
      <c r="G119" s="70" t="str">
        <f>IF(_xlfn.XLOOKUP($C119,ALL!$C$2:$C$341,ALL!H$2:H$341)&lt;&gt;"",_xlfn.XLOOKUP($C119,ALL!$C$2:$C$341,ALL!H$2:H$341),"")</f>
        <v/>
      </c>
      <c r="H119" s="69" t="str">
        <f>IF(_xlfn.XLOOKUP($C119,ALL!$C$2:$C$341,ALL!I$2:I$341)&lt;&gt;"",_xlfn.XLOOKUP($C119,ALL!$C$2:$C$341,ALL!I$2:I$341),"")</f>
        <v/>
      </c>
      <c r="I119" s="69" t="str">
        <f>IF(_xlfn.XLOOKUP($C119,ALL!$C$2:$C$341,ALL!J$2:J$341)&lt;&gt;"",_xlfn.XLOOKUP($C119,ALL!$C$2:$C$341,ALL!J$2:J$341),"")</f>
        <v/>
      </c>
      <c r="J119" s="70" t="str">
        <f>IF(_xlfn.XLOOKUP($C119,ALL!$C$2:$C$341,ALL!K$2:K$341)&lt;&gt;"",_xlfn.XLOOKUP($C119,ALL!$C$2:$C$341,ALL!K$2:K$341),"")</f>
        <v/>
      </c>
      <c r="K119" s="4" t="str">
        <f>IF(_xlfn.XLOOKUP($C119,ALL!$C$2:$C$341,ALL!L$2:L$341)&lt;&gt;"",_xlfn.XLOOKUP($C119,ALL!$C$2:$C$341,ALL!L$2:L$341),"")</f>
        <v/>
      </c>
      <c r="L119" s="4" t="str">
        <f>IF(_xlfn.XLOOKUP($C119,ALL!$C$2:$C$341,ALL!M$2:M$341)&lt;&gt;"",_xlfn.XLOOKUP($C119,ALL!$C$2:$C$341,ALL!M$2:M$341),"")</f>
        <v/>
      </c>
      <c r="M119" s="4" t="str">
        <f>IF(_xlfn.XLOOKUP($C119,ALL!$C$2:$C$341,ALL!N$2:N$341)&lt;&gt;"",_xlfn.XLOOKUP($C119,ALL!$C$2:$C$341,ALL!N$2:N$341),"")</f>
        <v/>
      </c>
    </row>
    <row r="120" spans="1:13" ht="19.2" customHeight="1" x14ac:dyDescent="0.3">
      <c r="A120" s="100" t="str">
        <f t="shared" si="2"/>
        <v/>
      </c>
      <c r="B120" s="94" t="str">
        <f>IF(_xlfn.XLOOKUP($C120,ALL!$C$2:$C$341,ALL!B$2:B$341)&lt;&gt;"",_xlfn.XLOOKUP($C120,ALL!$C$2:$C$341,ALL!B$2:B$341),"")</f>
        <v/>
      </c>
      <c r="D120" s="69" t="str">
        <f>IF(_xlfn.XLOOKUP($C120,ALL!$C$2:$C$341,ALL!D$2:D$341)&lt;&gt;"",_xlfn.XLOOKUP($C120,ALL!$C$2:$C$341,ALL!D$2:D$341),"")</f>
        <v/>
      </c>
      <c r="E120" s="69" t="str">
        <f>IF(_xlfn.XLOOKUP($C120,ALL!$C$2:$C$341,ALL!F$2:F$341)&lt;&gt;"",_xlfn.XLOOKUP($C120,ALL!$C$2:$C$341,ALL!F$2:F$341),"")</f>
        <v/>
      </c>
      <c r="F120" s="69" t="str">
        <f>IF(_xlfn.XLOOKUP($C120,ALL!$C$2:$C$341,ALL!G$2:G$341)&lt;&gt;"",_xlfn.XLOOKUP($C120,ALL!$C$2:$C$341,ALL!G$2:G$341),"")</f>
        <v/>
      </c>
      <c r="G120" s="70" t="str">
        <f>IF(_xlfn.XLOOKUP($C120,ALL!$C$2:$C$341,ALL!H$2:H$341)&lt;&gt;"",_xlfn.XLOOKUP($C120,ALL!$C$2:$C$341,ALL!H$2:H$341),"")</f>
        <v/>
      </c>
      <c r="H120" s="69" t="str">
        <f>IF(_xlfn.XLOOKUP($C120,ALL!$C$2:$C$341,ALL!I$2:I$341)&lt;&gt;"",_xlfn.XLOOKUP($C120,ALL!$C$2:$C$341,ALL!I$2:I$341),"")</f>
        <v/>
      </c>
      <c r="I120" s="69" t="str">
        <f>IF(_xlfn.XLOOKUP($C120,ALL!$C$2:$C$341,ALL!J$2:J$341)&lt;&gt;"",_xlfn.XLOOKUP($C120,ALL!$C$2:$C$341,ALL!J$2:J$341),"")</f>
        <v/>
      </c>
      <c r="J120" s="70" t="str">
        <f>IF(_xlfn.XLOOKUP($C120,ALL!$C$2:$C$341,ALL!K$2:K$341)&lt;&gt;"",_xlfn.XLOOKUP($C120,ALL!$C$2:$C$341,ALL!K$2:K$341),"")</f>
        <v/>
      </c>
      <c r="K120" s="4" t="str">
        <f>IF(_xlfn.XLOOKUP($C120,ALL!$C$2:$C$341,ALL!L$2:L$341)&lt;&gt;"",_xlfn.XLOOKUP($C120,ALL!$C$2:$C$341,ALL!L$2:L$341),"")</f>
        <v/>
      </c>
      <c r="L120" s="4" t="str">
        <f>IF(_xlfn.XLOOKUP($C120,ALL!$C$2:$C$341,ALL!M$2:M$341)&lt;&gt;"",_xlfn.XLOOKUP($C120,ALL!$C$2:$C$341,ALL!M$2:M$341),"")</f>
        <v/>
      </c>
      <c r="M120" s="4" t="str">
        <f>IF(_xlfn.XLOOKUP($C120,ALL!$C$2:$C$341,ALL!N$2:N$341)&lt;&gt;"",_xlfn.XLOOKUP($C120,ALL!$C$2:$C$341,ALL!N$2:N$341),"")</f>
        <v/>
      </c>
    </row>
    <row r="121" spans="1:13" ht="19.2" customHeight="1" x14ac:dyDescent="0.3">
      <c r="A121" s="100" t="str">
        <f t="shared" si="2"/>
        <v/>
      </c>
      <c r="B121" s="94" t="str">
        <f>IF(_xlfn.XLOOKUP($C121,ALL!$C$2:$C$341,ALL!B$2:B$341)&lt;&gt;"",_xlfn.XLOOKUP($C121,ALL!$C$2:$C$341,ALL!B$2:B$341),"")</f>
        <v/>
      </c>
      <c r="D121" s="69" t="str">
        <f>IF(_xlfn.XLOOKUP($C121,ALL!$C$2:$C$341,ALL!D$2:D$341)&lt;&gt;"",_xlfn.XLOOKUP($C121,ALL!$C$2:$C$341,ALL!D$2:D$341),"")</f>
        <v/>
      </c>
      <c r="E121" s="69" t="str">
        <f>IF(_xlfn.XLOOKUP($C121,ALL!$C$2:$C$341,ALL!F$2:F$341)&lt;&gt;"",_xlfn.XLOOKUP($C121,ALL!$C$2:$C$341,ALL!F$2:F$341),"")</f>
        <v/>
      </c>
      <c r="F121" s="69" t="str">
        <f>IF(_xlfn.XLOOKUP($C121,ALL!$C$2:$C$341,ALL!G$2:G$341)&lt;&gt;"",_xlfn.XLOOKUP($C121,ALL!$C$2:$C$341,ALL!G$2:G$341),"")</f>
        <v/>
      </c>
      <c r="G121" s="70" t="str">
        <f>IF(_xlfn.XLOOKUP($C121,ALL!$C$2:$C$341,ALL!H$2:H$341)&lt;&gt;"",_xlfn.XLOOKUP($C121,ALL!$C$2:$C$341,ALL!H$2:H$341),"")</f>
        <v/>
      </c>
      <c r="H121" s="69" t="str">
        <f>IF(_xlfn.XLOOKUP($C121,ALL!$C$2:$C$341,ALL!I$2:I$341)&lt;&gt;"",_xlfn.XLOOKUP($C121,ALL!$C$2:$C$341,ALL!I$2:I$341),"")</f>
        <v/>
      </c>
      <c r="I121" s="69" t="str">
        <f>IF(_xlfn.XLOOKUP($C121,ALL!$C$2:$C$341,ALL!J$2:J$341)&lt;&gt;"",_xlfn.XLOOKUP($C121,ALL!$C$2:$C$341,ALL!J$2:J$341),"")</f>
        <v/>
      </c>
      <c r="J121" s="70" t="str">
        <f>IF(_xlfn.XLOOKUP($C121,ALL!$C$2:$C$341,ALL!K$2:K$341)&lt;&gt;"",_xlfn.XLOOKUP($C121,ALL!$C$2:$C$341,ALL!K$2:K$341),"")</f>
        <v/>
      </c>
      <c r="K121" s="4" t="str">
        <f>IF(_xlfn.XLOOKUP($C121,ALL!$C$2:$C$341,ALL!L$2:L$341)&lt;&gt;"",_xlfn.XLOOKUP($C121,ALL!$C$2:$C$341,ALL!L$2:L$341),"")</f>
        <v/>
      </c>
      <c r="L121" s="4" t="str">
        <f>IF(_xlfn.XLOOKUP($C121,ALL!$C$2:$C$341,ALL!M$2:M$341)&lt;&gt;"",_xlfn.XLOOKUP($C121,ALL!$C$2:$C$341,ALL!M$2:M$341),"")</f>
        <v/>
      </c>
      <c r="M121" s="4" t="str">
        <f>IF(_xlfn.XLOOKUP($C121,ALL!$C$2:$C$341,ALL!N$2:N$341)&lt;&gt;"",_xlfn.XLOOKUP($C121,ALL!$C$2:$C$341,ALL!N$2:N$341),"")</f>
        <v/>
      </c>
    </row>
    <row r="122" spans="1:13" ht="19.2" customHeight="1" x14ac:dyDescent="0.3">
      <c r="A122" s="100" t="str">
        <f t="shared" si="2"/>
        <v/>
      </c>
      <c r="B122" s="94" t="str">
        <f>IF(_xlfn.XLOOKUP($C122,ALL!$C$2:$C$341,ALL!B$2:B$341)&lt;&gt;"",_xlfn.XLOOKUP($C122,ALL!$C$2:$C$341,ALL!B$2:B$341),"")</f>
        <v/>
      </c>
      <c r="D122" s="69" t="str">
        <f>IF(_xlfn.XLOOKUP($C122,ALL!$C$2:$C$341,ALL!D$2:D$341)&lt;&gt;"",_xlfn.XLOOKUP($C122,ALL!$C$2:$C$341,ALL!D$2:D$341),"")</f>
        <v/>
      </c>
      <c r="E122" s="69" t="str">
        <f>IF(_xlfn.XLOOKUP($C122,ALL!$C$2:$C$341,ALL!F$2:F$341)&lt;&gt;"",_xlfn.XLOOKUP($C122,ALL!$C$2:$C$341,ALL!F$2:F$341),"")</f>
        <v/>
      </c>
      <c r="F122" s="69" t="str">
        <f>IF(_xlfn.XLOOKUP($C122,ALL!$C$2:$C$341,ALL!G$2:G$341)&lt;&gt;"",_xlfn.XLOOKUP($C122,ALL!$C$2:$C$341,ALL!G$2:G$341),"")</f>
        <v/>
      </c>
      <c r="G122" s="70" t="str">
        <f>IF(_xlfn.XLOOKUP($C122,ALL!$C$2:$C$341,ALL!H$2:H$341)&lt;&gt;"",_xlfn.XLOOKUP($C122,ALL!$C$2:$C$341,ALL!H$2:H$341),"")</f>
        <v/>
      </c>
      <c r="H122" s="69" t="str">
        <f>IF(_xlfn.XLOOKUP($C122,ALL!$C$2:$C$341,ALL!I$2:I$341)&lt;&gt;"",_xlfn.XLOOKUP($C122,ALL!$C$2:$C$341,ALL!I$2:I$341),"")</f>
        <v/>
      </c>
      <c r="I122" s="69" t="str">
        <f>IF(_xlfn.XLOOKUP($C122,ALL!$C$2:$C$341,ALL!J$2:J$341)&lt;&gt;"",_xlfn.XLOOKUP($C122,ALL!$C$2:$C$341,ALL!J$2:J$341),"")</f>
        <v/>
      </c>
      <c r="J122" s="70" t="str">
        <f>IF(_xlfn.XLOOKUP($C122,ALL!$C$2:$C$341,ALL!K$2:K$341)&lt;&gt;"",_xlfn.XLOOKUP($C122,ALL!$C$2:$C$341,ALL!K$2:K$341),"")</f>
        <v/>
      </c>
      <c r="K122" s="4" t="str">
        <f>IF(_xlfn.XLOOKUP($C122,ALL!$C$2:$C$341,ALL!L$2:L$341)&lt;&gt;"",_xlfn.XLOOKUP($C122,ALL!$C$2:$C$341,ALL!L$2:L$341),"")</f>
        <v/>
      </c>
      <c r="L122" s="4" t="str">
        <f>IF(_xlfn.XLOOKUP($C122,ALL!$C$2:$C$341,ALL!M$2:M$341)&lt;&gt;"",_xlfn.XLOOKUP($C122,ALL!$C$2:$C$341,ALL!M$2:M$341),"")</f>
        <v/>
      </c>
      <c r="M122" s="4" t="str">
        <f>IF(_xlfn.XLOOKUP($C122,ALL!$C$2:$C$341,ALL!N$2:N$341)&lt;&gt;"",_xlfn.XLOOKUP($C122,ALL!$C$2:$C$341,ALL!N$2:N$341),"")</f>
        <v/>
      </c>
    </row>
    <row r="123" spans="1:13" ht="19.2" customHeight="1" x14ac:dyDescent="0.3">
      <c r="A123" s="100" t="str">
        <f t="shared" si="2"/>
        <v/>
      </c>
      <c r="B123" s="94" t="str">
        <f>IF(_xlfn.XLOOKUP($C123,ALL!$C$2:$C$341,ALL!B$2:B$341)&lt;&gt;"",_xlfn.XLOOKUP($C123,ALL!$C$2:$C$341,ALL!B$2:B$341),"")</f>
        <v/>
      </c>
      <c r="D123" s="69" t="str">
        <f>IF(_xlfn.XLOOKUP($C123,ALL!$C$2:$C$341,ALL!D$2:D$341)&lt;&gt;"",_xlfn.XLOOKUP($C123,ALL!$C$2:$C$341,ALL!D$2:D$341),"")</f>
        <v/>
      </c>
      <c r="E123" s="69" t="str">
        <f>IF(_xlfn.XLOOKUP($C123,ALL!$C$2:$C$341,ALL!F$2:F$341)&lt;&gt;"",_xlfn.XLOOKUP($C123,ALL!$C$2:$C$341,ALL!F$2:F$341),"")</f>
        <v/>
      </c>
      <c r="F123" s="69" t="str">
        <f>IF(_xlfn.XLOOKUP($C123,ALL!$C$2:$C$341,ALL!G$2:G$341)&lt;&gt;"",_xlfn.XLOOKUP($C123,ALL!$C$2:$C$341,ALL!G$2:G$341),"")</f>
        <v/>
      </c>
      <c r="G123" s="70" t="str">
        <f>IF(_xlfn.XLOOKUP($C123,ALL!$C$2:$C$341,ALL!H$2:H$341)&lt;&gt;"",_xlfn.XLOOKUP($C123,ALL!$C$2:$C$341,ALL!H$2:H$341),"")</f>
        <v/>
      </c>
      <c r="H123" s="69" t="str">
        <f>IF(_xlfn.XLOOKUP($C123,ALL!$C$2:$C$341,ALL!I$2:I$341)&lt;&gt;"",_xlfn.XLOOKUP($C123,ALL!$C$2:$C$341,ALL!I$2:I$341),"")</f>
        <v/>
      </c>
      <c r="I123" s="69" t="str">
        <f>IF(_xlfn.XLOOKUP($C123,ALL!$C$2:$C$341,ALL!J$2:J$341)&lt;&gt;"",_xlfn.XLOOKUP($C123,ALL!$C$2:$C$341,ALL!J$2:J$341),"")</f>
        <v/>
      </c>
      <c r="J123" s="70" t="str">
        <f>IF(_xlfn.XLOOKUP($C123,ALL!$C$2:$C$341,ALL!K$2:K$341)&lt;&gt;"",_xlfn.XLOOKUP($C123,ALL!$C$2:$C$341,ALL!K$2:K$341),"")</f>
        <v/>
      </c>
      <c r="K123" s="4" t="str">
        <f>IF(_xlfn.XLOOKUP($C123,ALL!$C$2:$C$341,ALL!L$2:L$341)&lt;&gt;"",_xlfn.XLOOKUP($C123,ALL!$C$2:$C$341,ALL!L$2:L$341),"")</f>
        <v/>
      </c>
      <c r="L123" s="4" t="str">
        <f>IF(_xlfn.XLOOKUP($C123,ALL!$C$2:$C$341,ALL!M$2:M$341)&lt;&gt;"",_xlfn.XLOOKUP($C123,ALL!$C$2:$C$341,ALL!M$2:M$341),"")</f>
        <v/>
      </c>
      <c r="M123" s="4" t="str">
        <f>IF(_xlfn.XLOOKUP($C123,ALL!$C$2:$C$341,ALL!N$2:N$341)&lt;&gt;"",_xlfn.XLOOKUP($C123,ALL!$C$2:$C$341,ALL!N$2:N$341),"")</f>
        <v/>
      </c>
    </row>
    <row r="124" spans="1:13" ht="19.2" customHeight="1" x14ac:dyDescent="0.3">
      <c r="A124" s="100" t="str">
        <f t="shared" si="2"/>
        <v/>
      </c>
      <c r="B124" s="94" t="str">
        <f>IF(_xlfn.XLOOKUP($C124,ALL!$C$2:$C$341,ALL!B$2:B$341)&lt;&gt;"",_xlfn.XLOOKUP($C124,ALL!$C$2:$C$341,ALL!B$2:B$341),"")</f>
        <v/>
      </c>
      <c r="D124" s="69" t="str">
        <f>IF(_xlfn.XLOOKUP($C124,ALL!$C$2:$C$341,ALL!D$2:D$341)&lt;&gt;"",_xlfn.XLOOKUP($C124,ALL!$C$2:$C$341,ALL!D$2:D$341),"")</f>
        <v/>
      </c>
      <c r="E124" s="69" t="str">
        <f>IF(_xlfn.XLOOKUP($C124,ALL!$C$2:$C$341,ALL!F$2:F$341)&lt;&gt;"",_xlfn.XLOOKUP($C124,ALL!$C$2:$C$341,ALL!F$2:F$341),"")</f>
        <v/>
      </c>
      <c r="F124" s="69" t="str">
        <f>IF(_xlfn.XLOOKUP($C124,ALL!$C$2:$C$341,ALL!G$2:G$341)&lt;&gt;"",_xlfn.XLOOKUP($C124,ALL!$C$2:$C$341,ALL!G$2:G$341),"")</f>
        <v/>
      </c>
      <c r="G124" s="70" t="str">
        <f>IF(_xlfn.XLOOKUP($C124,ALL!$C$2:$C$341,ALL!H$2:H$341)&lt;&gt;"",_xlfn.XLOOKUP($C124,ALL!$C$2:$C$341,ALL!H$2:H$341),"")</f>
        <v/>
      </c>
      <c r="H124" s="69" t="str">
        <f>IF(_xlfn.XLOOKUP($C124,ALL!$C$2:$C$341,ALL!I$2:I$341)&lt;&gt;"",_xlfn.XLOOKUP($C124,ALL!$C$2:$C$341,ALL!I$2:I$341),"")</f>
        <v/>
      </c>
      <c r="I124" s="69" t="str">
        <f>IF(_xlfn.XLOOKUP($C124,ALL!$C$2:$C$341,ALL!J$2:J$341)&lt;&gt;"",_xlfn.XLOOKUP($C124,ALL!$C$2:$C$341,ALL!J$2:J$341),"")</f>
        <v/>
      </c>
      <c r="J124" s="70" t="str">
        <f>IF(_xlfn.XLOOKUP($C124,ALL!$C$2:$C$341,ALL!K$2:K$341)&lt;&gt;"",_xlfn.XLOOKUP($C124,ALL!$C$2:$C$341,ALL!K$2:K$341),"")</f>
        <v/>
      </c>
      <c r="K124" s="4" t="str">
        <f>IF(_xlfn.XLOOKUP($C124,ALL!$C$2:$C$341,ALL!L$2:L$341)&lt;&gt;"",_xlfn.XLOOKUP($C124,ALL!$C$2:$C$341,ALL!L$2:L$341),"")</f>
        <v/>
      </c>
      <c r="L124" s="4" t="str">
        <f>IF(_xlfn.XLOOKUP($C124,ALL!$C$2:$C$341,ALL!M$2:M$341)&lt;&gt;"",_xlfn.XLOOKUP($C124,ALL!$C$2:$C$341,ALL!M$2:M$341),"")</f>
        <v/>
      </c>
      <c r="M124" s="4" t="str">
        <f>IF(_xlfn.XLOOKUP($C124,ALL!$C$2:$C$341,ALL!N$2:N$341)&lt;&gt;"",_xlfn.XLOOKUP($C124,ALL!$C$2:$C$341,ALL!N$2:N$341),"")</f>
        <v/>
      </c>
    </row>
    <row r="125" spans="1:13" ht="19.2" customHeight="1" x14ac:dyDescent="0.3">
      <c r="A125" s="100" t="str">
        <f t="shared" si="2"/>
        <v/>
      </c>
      <c r="B125" s="94" t="str">
        <f>IF(_xlfn.XLOOKUP($C125,ALL!$C$2:$C$341,ALL!B$2:B$341)&lt;&gt;"",_xlfn.XLOOKUP($C125,ALL!$C$2:$C$341,ALL!B$2:B$341),"")</f>
        <v/>
      </c>
      <c r="D125" s="69" t="str">
        <f>IF(_xlfn.XLOOKUP($C125,ALL!$C$2:$C$341,ALL!D$2:D$341)&lt;&gt;"",_xlfn.XLOOKUP($C125,ALL!$C$2:$C$341,ALL!D$2:D$341),"")</f>
        <v/>
      </c>
      <c r="E125" s="69" t="str">
        <f>IF(_xlfn.XLOOKUP($C125,ALL!$C$2:$C$341,ALL!F$2:F$341)&lt;&gt;"",_xlfn.XLOOKUP($C125,ALL!$C$2:$C$341,ALL!F$2:F$341),"")</f>
        <v/>
      </c>
      <c r="F125" s="69" t="str">
        <f>IF(_xlfn.XLOOKUP($C125,ALL!$C$2:$C$341,ALL!G$2:G$341)&lt;&gt;"",_xlfn.XLOOKUP($C125,ALL!$C$2:$C$341,ALL!G$2:G$341),"")</f>
        <v/>
      </c>
      <c r="G125" s="70" t="str">
        <f>IF(_xlfn.XLOOKUP($C125,ALL!$C$2:$C$341,ALL!H$2:H$341)&lt;&gt;"",_xlfn.XLOOKUP($C125,ALL!$C$2:$C$341,ALL!H$2:H$341),"")</f>
        <v/>
      </c>
      <c r="H125" s="69" t="str">
        <f>IF(_xlfn.XLOOKUP($C125,ALL!$C$2:$C$341,ALL!I$2:I$341)&lt;&gt;"",_xlfn.XLOOKUP($C125,ALL!$C$2:$C$341,ALL!I$2:I$341),"")</f>
        <v/>
      </c>
      <c r="I125" s="69" t="str">
        <f>IF(_xlfn.XLOOKUP($C125,ALL!$C$2:$C$341,ALL!J$2:J$341)&lt;&gt;"",_xlfn.XLOOKUP($C125,ALL!$C$2:$C$341,ALL!J$2:J$341),"")</f>
        <v/>
      </c>
      <c r="J125" s="70" t="str">
        <f>IF(_xlfn.XLOOKUP($C125,ALL!$C$2:$C$341,ALL!K$2:K$341)&lt;&gt;"",_xlfn.XLOOKUP($C125,ALL!$C$2:$C$341,ALL!K$2:K$341),"")</f>
        <v/>
      </c>
      <c r="K125" s="4" t="str">
        <f>IF(_xlfn.XLOOKUP($C125,ALL!$C$2:$C$341,ALL!L$2:L$341)&lt;&gt;"",_xlfn.XLOOKUP($C125,ALL!$C$2:$C$341,ALL!L$2:L$341),"")</f>
        <v/>
      </c>
      <c r="L125" s="4" t="str">
        <f>IF(_xlfn.XLOOKUP($C125,ALL!$C$2:$C$341,ALL!M$2:M$341)&lt;&gt;"",_xlfn.XLOOKUP($C125,ALL!$C$2:$C$341,ALL!M$2:M$341),"")</f>
        <v/>
      </c>
      <c r="M125" s="4" t="str">
        <f>IF(_xlfn.XLOOKUP($C125,ALL!$C$2:$C$341,ALL!N$2:N$341)&lt;&gt;"",_xlfn.XLOOKUP($C125,ALL!$C$2:$C$341,ALL!N$2:N$341),"")</f>
        <v/>
      </c>
    </row>
    <row r="126" spans="1:13" ht="19.2" customHeight="1" x14ac:dyDescent="0.3">
      <c r="A126" s="100" t="str">
        <f t="shared" si="2"/>
        <v/>
      </c>
      <c r="B126" s="94" t="str">
        <f>IF(_xlfn.XLOOKUP($C126,ALL!$C$2:$C$341,ALL!B$2:B$341)&lt;&gt;"",_xlfn.XLOOKUP($C126,ALL!$C$2:$C$341,ALL!B$2:B$341),"")</f>
        <v/>
      </c>
      <c r="D126" s="69" t="str">
        <f>IF(_xlfn.XLOOKUP($C126,ALL!$C$2:$C$341,ALL!D$2:D$341)&lt;&gt;"",_xlfn.XLOOKUP($C126,ALL!$C$2:$C$341,ALL!D$2:D$341),"")</f>
        <v/>
      </c>
      <c r="E126" s="69" t="str">
        <f>IF(_xlfn.XLOOKUP($C126,ALL!$C$2:$C$341,ALL!F$2:F$341)&lt;&gt;"",_xlfn.XLOOKUP($C126,ALL!$C$2:$C$341,ALL!F$2:F$341),"")</f>
        <v/>
      </c>
      <c r="F126" s="69" t="str">
        <f>IF(_xlfn.XLOOKUP($C126,ALL!$C$2:$C$341,ALL!G$2:G$341)&lt;&gt;"",_xlfn.XLOOKUP($C126,ALL!$C$2:$C$341,ALL!G$2:G$341),"")</f>
        <v/>
      </c>
      <c r="G126" s="70" t="str">
        <f>IF(_xlfn.XLOOKUP($C126,ALL!$C$2:$C$341,ALL!H$2:H$341)&lt;&gt;"",_xlfn.XLOOKUP($C126,ALL!$C$2:$C$341,ALL!H$2:H$341),"")</f>
        <v/>
      </c>
      <c r="H126" s="69" t="str">
        <f>IF(_xlfn.XLOOKUP($C126,ALL!$C$2:$C$341,ALL!I$2:I$341)&lt;&gt;"",_xlfn.XLOOKUP($C126,ALL!$C$2:$C$341,ALL!I$2:I$341),"")</f>
        <v/>
      </c>
      <c r="I126" s="69" t="str">
        <f>IF(_xlfn.XLOOKUP($C126,ALL!$C$2:$C$341,ALL!J$2:J$341)&lt;&gt;"",_xlfn.XLOOKUP($C126,ALL!$C$2:$C$341,ALL!J$2:J$341),"")</f>
        <v/>
      </c>
      <c r="J126" s="70" t="str">
        <f>IF(_xlfn.XLOOKUP($C126,ALL!$C$2:$C$341,ALL!K$2:K$341)&lt;&gt;"",_xlfn.XLOOKUP($C126,ALL!$C$2:$C$341,ALL!K$2:K$341),"")</f>
        <v/>
      </c>
      <c r="K126" s="4" t="str">
        <f>IF(_xlfn.XLOOKUP($C126,ALL!$C$2:$C$341,ALL!L$2:L$341)&lt;&gt;"",_xlfn.XLOOKUP($C126,ALL!$C$2:$C$341,ALL!L$2:L$341),"")</f>
        <v/>
      </c>
      <c r="L126" s="4" t="str">
        <f>IF(_xlfn.XLOOKUP($C126,ALL!$C$2:$C$341,ALL!M$2:M$341)&lt;&gt;"",_xlfn.XLOOKUP($C126,ALL!$C$2:$C$341,ALL!M$2:M$341),"")</f>
        <v/>
      </c>
      <c r="M126" s="4" t="str">
        <f>IF(_xlfn.XLOOKUP($C126,ALL!$C$2:$C$341,ALL!N$2:N$341)&lt;&gt;"",_xlfn.XLOOKUP($C126,ALL!$C$2:$C$341,ALL!N$2:N$341),"")</f>
        <v/>
      </c>
    </row>
    <row r="127" spans="1:13" ht="19.2" customHeight="1" x14ac:dyDescent="0.3">
      <c r="A127" s="100" t="str">
        <f t="shared" si="2"/>
        <v/>
      </c>
      <c r="B127" s="94" t="str">
        <f>IF(_xlfn.XLOOKUP($C127,ALL!$C$2:$C$341,ALL!B$2:B$341)&lt;&gt;"",_xlfn.XLOOKUP($C127,ALL!$C$2:$C$341,ALL!B$2:B$341),"")</f>
        <v/>
      </c>
      <c r="D127" s="69" t="str">
        <f>IF(_xlfn.XLOOKUP($C127,ALL!$C$2:$C$341,ALL!D$2:D$341)&lt;&gt;"",_xlfn.XLOOKUP($C127,ALL!$C$2:$C$341,ALL!D$2:D$341),"")</f>
        <v/>
      </c>
      <c r="E127" s="69" t="str">
        <f>IF(_xlfn.XLOOKUP($C127,ALL!$C$2:$C$341,ALL!F$2:F$341)&lt;&gt;"",_xlfn.XLOOKUP($C127,ALL!$C$2:$C$341,ALL!F$2:F$341),"")</f>
        <v/>
      </c>
      <c r="F127" s="69" t="str">
        <f>IF(_xlfn.XLOOKUP($C127,ALL!$C$2:$C$341,ALL!G$2:G$341)&lt;&gt;"",_xlfn.XLOOKUP($C127,ALL!$C$2:$C$341,ALL!G$2:G$341),"")</f>
        <v/>
      </c>
      <c r="G127" s="70" t="str">
        <f>IF(_xlfn.XLOOKUP($C127,ALL!$C$2:$C$341,ALL!H$2:H$341)&lt;&gt;"",_xlfn.XLOOKUP($C127,ALL!$C$2:$C$341,ALL!H$2:H$341),"")</f>
        <v/>
      </c>
      <c r="H127" s="69" t="str">
        <f>IF(_xlfn.XLOOKUP($C127,ALL!$C$2:$C$341,ALL!I$2:I$341)&lt;&gt;"",_xlfn.XLOOKUP($C127,ALL!$C$2:$C$341,ALL!I$2:I$341),"")</f>
        <v/>
      </c>
      <c r="I127" s="69" t="str">
        <f>IF(_xlfn.XLOOKUP($C127,ALL!$C$2:$C$341,ALL!J$2:J$341)&lt;&gt;"",_xlfn.XLOOKUP($C127,ALL!$C$2:$C$341,ALL!J$2:J$341),"")</f>
        <v/>
      </c>
      <c r="J127" s="70" t="str">
        <f>IF(_xlfn.XLOOKUP($C127,ALL!$C$2:$C$341,ALL!K$2:K$341)&lt;&gt;"",_xlfn.XLOOKUP($C127,ALL!$C$2:$C$341,ALL!K$2:K$341),"")</f>
        <v/>
      </c>
      <c r="K127" s="4" t="str">
        <f>IF(_xlfn.XLOOKUP($C127,ALL!$C$2:$C$341,ALL!L$2:L$341)&lt;&gt;"",_xlfn.XLOOKUP($C127,ALL!$C$2:$C$341,ALL!L$2:L$341),"")</f>
        <v/>
      </c>
      <c r="L127" s="4" t="str">
        <f>IF(_xlfn.XLOOKUP($C127,ALL!$C$2:$C$341,ALL!M$2:M$341)&lt;&gt;"",_xlfn.XLOOKUP($C127,ALL!$C$2:$C$341,ALL!M$2:M$341),"")</f>
        <v/>
      </c>
      <c r="M127" s="4" t="str">
        <f>IF(_xlfn.XLOOKUP($C127,ALL!$C$2:$C$341,ALL!N$2:N$341)&lt;&gt;"",_xlfn.XLOOKUP($C127,ALL!$C$2:$C$341,ALL!N$2:N$341),"")</f>
        <v/>
      </c>
    </row>
    <row r="128" spans="1:13" ht="19.2" customHeight="1" x14ac:dyDescent="0.3">
      <c r="A128" s="100" t="str">
        <f t="shared" si="2"/>
        <v/>
      </c>
      <c r="B128" s="94" t="str">
        <f>IF(_xlfn.XLOOKUP($C128,ALL!$C$2:$C$341,ALL!B$2:B$341)&lt;&gt;"",_xlfn.XLOOKUP($C128,ALL!$C$2:$C$341,ALL!B$2:B$341),"")</f>
        <v/>
      </c>
      <c r="D128" s="69" t="str">
        <f>IF(_xlfn.XLOOKUP($C128,ALL!$C$2:$C$341,ALL!D$2:D$341)&lt;&gt;"",_xlfn.XLOOKUP($C128,ALL!$C$2:$C$341,ALL!D$2:D$341),"")</f>
        <v/>
      </c>
      <c r="E128" s="69" t="str">
        <f>IF(_xlfn.XLOOKUP($C128,ALL!$C$2:$C$341,ALL!F$2:F$341)&lt;&gt;"",_xlfn.XLOOKUP($C128,ALL!$C$2:$C$341,ALL!F$2:F$341),"")</f>
        <v/>
      </c>
      <c r="F128" s="69" t="str">
        <f>IF(_xlfn.XLOOKUP($C128,ALL!$C$2:$C$341,ALL!G$2:G$341)&lt;&gt;"",_xlfn.XLOOKUP($C128,ALL!$C$2:$C$341,ALL!G$2:G$341),"")</f>
        <v/>
      </c>
      <c r="G128" s="70" t="str">
        <f>IF(_xlfn.XLOOKUP($C128,ALL!$C$2:$C$341,ALL!H$2:H$341)&lt;&gt;"",_xlfn.XLOOKUP($C128,ALL!$C$2:$C$341,ALL!H$2:H$341),"")</f>
        <v/>
      </c>
      <c r="H128" s="69" t="str">
        <f>IF(_xlfn.XLOOKUP($C128,ALL!$C$2:$C$341,ALL!I$2:I$341)&lt;&gt;"",_xlfn.XLOOKUP($C128,ALL!$C$2:$C$341,ALL!I$2:I$341),"")</f>
        <v/>
      </c>
      <c r="I128" s="69" t="str">
        <f>IF(_xlfn.XLOOKUP($C128,ALL!$C$2:$C$341,ALL!J$2:J$341)&lt;&gt;"",_xlfn.XLOOKUP($C128,ALL!$C$2:$C$341,ALL!J$2:J$341),"")</f>
        <v/>
      </c>
      <c r="J128" s="70" t="str">
        <f>IF(_xlfn.XLOOKUP($C128,ALL!$C$2:$C$341,ALL!K$2:K$341)&lt;&gt;"",_xlfn.XLOOKUP($C128,ALL!$C$2:$C$341,ALL!K$2:K$341),"")</f>
        <v/>
      </c>
      <c r="K128" s="4" t="str">
        <f>IF(_xlfn.XLOOKUP($C128,ALL!$C$2:$C$341,ALL!L$2:L$341)&lt;&gt;"",_xlfn.XLOOKUP($C128,ALL!$C$2:$C$341,ALL!L$2:L$341),"")</f>
        <v/>
      </c>
      <c r="L128" s="4" t="str">
        <f>IF(_xlfn.XLOOKUP($C128,ALL!$C$2:$C$341,ALL!M$2:M$341)&lt;&gt;"",_xlfn.XLOOKUP($C128,ALL!$C$2:$C$341,ALL!M$2:M$341),"")</f>
        <v/>
      </c>
      <c r="M128" s="4" t="str">
        <f>IF(_xlfn.XLOOKUP($C128,ALL!$C$2:$C$341,ALL!N$2:N$341)&lt;&gt;"",_xlfn.XLOOKUP($C128,ALL!$C$2:$C$341,ALL!N$2:N$341),"")</f>
        <v/>
      </c>
    </row>
    <row r="129" spans="1:13" ht="19.2" customHeight="1" x14ac:dyDescent="0.3">
      <c r="A129" s="100" t="str">
        <f t="shared" si="2"/>
        <v/>
      </c>
      <c r="B129" s="94" t="str">
        <f>IF(_xlfn.XLOOKUP($C129,ALL!$C$2:$C$341,ALL!B$2:B$341)&lt;&gt;"",_xlfn.XLOOKUP($C129,ALL!$C$2:$C$341,ALL!B$2:B$341),"")</f>
        <v/>
      </c>
      <c r="D129" s="69" t="str">
        <f>IF(_xlfn.XLOOKUP($C129,ALL!$C$2:$C$341,ALL!D$2:D$341)&lt;&gt;"",_xlfn.XLOOKUP($C129,ALL!$C$2:$C$341,ALL!D$2:D$341),"")</f>
        <v/>
      </c>
      <c r="E129" s="69" t="str">
        <f>IF(_xlfn.XLOOKUP($C129,ALL!$C$2:$C$341,ALL!F$2:F$341)&lt;&gt;"",_xlfn.XLOOKUP($C129,ALL!$C$2:$C$341,ALL!F$2:F$341),"")</f>
        <v/>
      </c>
      <c r="F129" s="69" t="str">
        <f>IF(_xlfn.XLOOKUP($C129,ALL!$C$2:$C$341,ALL!G$2:G$341)&lt;&gt;"",_xlfn.XLOOKUP($C129,ALL!$C$2:$C$341,ALL!G$2:G$341),"")</f>
        <v/>
      </c>
      <c r="G129" s="70" t="str">
        <f>IF(_xlfn.XLOOKUP($C129,ALL!$C$2:$C$341,ALL!H$2:H$341)&lt;&gt;"",_xlfn.XLOOKUP($C129,ALL!$C$2:$C$341,ALL!H$2:H$341),"")</f>
        <v/>
      </c>
      <c r="H129" s="69" t="str">
        <f>IF(_xlfn.XLOOKUP($C129,ALL!$C$2:$C$341,ALL!I$2:I$341)&lt;&gt;"",_xlfn.XLOOKUP($C129,ALL!$C$2:$C$341,ALL!I$2:I$341),"")</f>
        <v/>
      </c>
      <c r="I129" s="69" t="str">
        <f>IF(_xlfn.XLOOKUP($C129,ALL!$C$2:$C$341,ALL!J$2:J$341)&lt;&gt;"",_xlfn.XLOOKUP($C129,ALL!$C$2:$C$341,ALL!J$2:J$341),"")</f>
        <v/>
      </c>
      <c r="J129" s="70" t="str">
        <f>IF(_xlfn.XLOOKUP($C129,ALL!$C$2:$C$341,ALL!K$2:K$341)&lt;&gt;"",_xlfn.XLOOKUP($C129,ALL!$C$2:$C$341,ALL!K$2:K$341),"")</f>
        <v/>
      </c>
      <c r="K129" s="4" t="str">
        <f>IF(_xlfn.XLOOKUP($C129,ALL!$C$2:$C$341,ALL!L$2:L$341)&lt;&gt;"",_xlfn.XLOOKUP($C129,ALL!$C$2:$C$341,ALL!L$2:L$341),"")</f>
        <v/>
      </c>
      <c r="L129" s="4" t="str">
        <f>IF(_xlfn.XLOOKUP($C129,ALL!$C$2:$C$341,ALL!M$2:M$341)&lt;&gt;"",_xlfn.XLOOKUP($C129,ALL!$C$2:$C$341,ALL!M$2:M$341),"")</f>
        <v/>
      </c>
      <c r="M129" s="4" t="str">
        <f>IF(_xlfn.XLOOKUP($C129,ALL!$C$2:$C$341,ALL!N$2:N$341)&lt;&gt;"",_xlfn.XLOOKUP($C129,ALL!$C$2:$C$341,ALL!N$2:N$341),"")</f>
        <v/>
      </c>
    </row>
    <row r="130" spans="1:13" ht="19.2" customHeight="1" x14ac:dyDescent="0.3">
      <c r="A130" s="100" t="str">
        <f t="shared" si="2"/>
        <v/>
      </c>
      <c r="B130" s="94" t="str">
        <f>IF(_xlfn.XLOOKUP($C130,ALL!$C$2:$C$341,ALL!B$2:B$341)&lt;&gt;"",_xlfn.XLOOKUP($C130,ALL!$C$2:$C$341,ALL!B$2:B$341),"")</f>
        <v/>
      </c>
      <c r="D130" s="69" t="str">
        <f>IF(_xlfn.XLOOKUP($C130,ALL!$C$2:$C$341,ALL!D$2:D$341)&lt;&gt;"",_xlfn.XLOOKUP($C130,ALL!$C$2:$C$341,ALL!D$2:D$341),"")</f>
        <v/>
      </c>
      <c r="E130" s="69" t="str">
        <f>IF(_xlfn.XLOOKUP($C130,ALL!$C$2:$C$341,ALL!F$2:F$341)&lt;&gt;"",_xlfn.XLOOKUP($C130,ALL!$C$2:$C$341,ALL!F$2:F$341),"")</f>
        <v/>
      </c>
      <c r="F130" s="69" t="str">
        <f>IF(_xlfn.XLOOKUP($C130,ALL!$C$2:$C$341,ALL!G$2:G$341)&lt;&gt;"",_xlfn.XLOOKUP($C130,ALL!$C$2:$C$341,ALL!G$2:G$341),"")</f>
        <v/>
      </c>
      <c r="G130" s="70" t="str">
        <f>IF(_xlfn.XLOOKUP($C130,ALL!$C$2:$C$341,ALL!H$2:H$341)&lt;&gt;"",_xlfn.XLOOKUP($C130,ALL!$C$2:$C$341,ALL!H$2:H$341),"")</f>
        <v/>
      </c>
      <c r="H130" s="69" t="str">
        <f>IF(_xlfn.XLOOKUP($C130,ALL!$C$2:$C$341,ALL!I$2:I$341)&lt;&gt;"",_xlfn.XLOOKUP($C130,ALL!$C$2:$C$341,ALL!I$2:I$341),"")</f>
        <v/>
      </c>
      <c r="I130" s="69" t="str">
        <f>IF(_xlfn.XLOOKUP($C130,ALL!$C$2:$C$341,ALL!J$2:J$341)&lt;&gt;"",_xlfn.XLOOKUP($C130,ALL!$C$2:$C$341,ALL!J$2:J$341),"")</f>
        <v/>
      </c>
      <c r="J130" s="70" t="str">
        <f>IF(_xlfn.XLOOKUP($C130,ALL!$C$2:$C$341,ALL!K$2:K$341)&lt;&gt;"",_xlfn.XLOOKUP($C130,ALL!$C$2:$C$341,ALL!K$2:K$341),"")</f>
        <v/>
      </c>
      <c r="K130" s="4" t="str">
        <f>IF(_xlfn.XLOOKUP($C130,ALL!$C$2:$C$341,ALL!L$2:L$341)&lt;&gt;"",_xlfn.XLOOKUP($C130,ALL!$C$2:$C$341,ALL!L$2:L$341),"")</f>
        <v/>
      </c>
      <c r="L130" s="4" t="str">
        <f>IF(_xlfn.XLOOKUP($C130,ALL!$C$2:$C$341,ALL!M$2:M$341)&lt;&gt;"",_xlfn.XLOOKUP($C130,ALL!$C$2:$C$341,ALL!M$2:M$341),"")</f>
        <v/>
      </c>
      <c r="M130" s="4" t="str">
        <f>IF(_xlfn.XLOOKUP($C130,ALL!$C$2:$C$341,ALL!N$2:N$341)&lt;&gt;"",_xlfn.XLOOKUP($C130,ALL!$C$2:$C$341,ALL!N$2:N$341),"")</f>
        <v/>
      </c>
    </row>
    <row r="131" spans="1:13" ht="19.2" customHeight="1" x14ac:dyDescent="0.3">
      <c r="A131" s="100" t="str">
        <f t="shared" si="2"/>
        <v/>
      </c>
      <c r="B131" s="94" t="str">
        <f>IF(_xlfn.XLOOKUP($C131,ALL!$C$2:$C$341,ALL!B$2:B$341)&lt;&gt;"",_xlfn.XLOOKUP($C131,ALL!$C$2:$C$341,ALL!B$2:B$341),"")</f>
        <v/>
      </c>
      <c r="D131" s="69" t="str">
        <f>IF(_xlfn.XLOOKUP($C131,ALL!$C$2:$C$341,ALL!D$2:D$341)&lt;&gt;"",_xlfn.XLOOKUP($C131,ALL!$C$2:$C$341,ALL!D$2:D$341),"")</f>
        <v/>
      </c>
      <c r="E131" s="69" t="str">
        <f>IF(_xlfn.XLOOKUP($C131,ALL!$C$2:$C$341,ALL!F$2:F$341)&lt;&gt;"",_xlfn.XLOOKUP($C131,ALL!$C$2:$C$341,ALL!F$2:F$341),"")</f>
        <v/>
      </c>
      <c r="F131" s="69" t="str">
        <f>IF(_xlfn.XLOOKUP($C131,ALL!$C$2:$C$341,ALL!G$2:G$341)&lt;&gt;"",_xlfn.XLOOKUP($C131,ALL!$C$2:$C$341,ALL!G$2:G$341),"")</f>
        <v/>
      </c>
      <c r="G131" s="70" t="str">
        <f>IF(_xlfn.XLOOKUP($C131,ALL!$C$2:$C$341,ALL!H$2:H$341)&lt;&gt;"",_xlfn.XLOOKUP($C131,ALL!$C$2:$C$341,ALL!H$2:H$341),"")</f>
        <v/>
      </c>
      <c r="H131" s="69" t="str">
        <f>IF(_xlfn.XLOOKUP($C131,ALL!$C$2:$C$341,ALL!I$2:I$341)&lt;&gt;"",_xlfn.XLOOKUP($C131,ALL!$C$2:$C$341,ALL!I$2:I$341),"")</f>
        <v/>
      </c>
      <c r="I131" s="69" t="str">
        <f>IF(_xlfn.XLOOKUP($C131,ALL!$C$2:$C$341,ALL!J$2:J$341)&lt;&gt;"",_xlfn.XLOOKUP($C131,ALL!$C$2:$C$341,ALL!J$2:J$341),"")</f>
        <v/>
      </c>
      <c r="J131" s="70" t="str">
        <f>IF(_xlfn.XLOOKUP($C131,ALL!$C$2:$C$341,ALL!K$2:K$341)&lt;&gt;"",_xlfn.XLOOKUP($C131,ALL!$C$2:$C$341,ALL!K$2:K$341),"")</f>
        <v/>
      </c>
      <c r="K131" s="4" t="str">
        <f>IF(_xlfn.XLOOKUP($C131,ALL!$C$2:$C$341,ALL!L$2:L$341)&lt;&gt;"",_xlfn.XLOOKUP($C131,ALL!$C$2:$C$341,ALL!L$2:L$341),"")</f>
        <v/>
      </c>
      <c r="L131" s="4" t="str">
        <f>IF(_xlfn.XLOOKUP($C131,ALL!$C$2:$C$341,ALL!M$2:M$341)&lt;&gt;"",_xlfn.XLOOKUP($C131,ALL!$C$2:$C$341,ALL!M$2:M$341),"")</f>
        <v/>
      </c>
      <c r="M131" s="4" t="str">
        <f>IF(_xlfn.XLOOKUP($C131,ALL!$C$2:$C$341,ALL!N$2:N$341)&lt;&gt;"",_xlfn.XLOOKUP($C131,ALL!$C$2:$C$341,ALL!N$2:N$341),"")</f>
        <v/>
      </c>
    </row>
    <row r="132" spans="1:13" ht="19.2" customHeight="1" x14ac:dyDescent="0.3">
      <c r="A132" s="100" t="str">
        <f t="shared" si="2"/>
        <v/>
      </c>
      <c r="B132" s="94" t="str">
        <f>IF(_xlfn.XLOOKUP($C132,ALL!$C$2:$C$341,ALL!B$2:B$341)&lt;&gt;"",_xlfn.XLOOKUP($C132,ALL!$C$2:$C$341,ALL!B$2:B$341),"")</f>
        <v/>
      </c>
      <c r="D132" s="69" t="str">
        <f>IF(_xlfn.XLOOKUP($C132,ALL!$C$2:$C$341,ALL!D$2:D$341)&lt;&gt;"",_xlfn.XLOOKUP($C132,ALL!$C$2:$C$341,ALL!D$2:D$341),"")</f>
        <v/>
      </c>
      <c r="E132" s="69" t="str">
        <f>IF(_xlfn.XLOOKUP($C132,ALL!$C$2:$C$341,ALL!F$2:F$341)&lt;&gt;"",_xlfn.XLOOKUP($C132,ALL!$C$2:$C$341,ALL!F$2:F$341),"")</f>
        <v/>
      </c>
      <c r="F132" s="69" t="str">
        <f>IF(_xlfn.XLOOKUP($C132,ALL!$C$2:$C$341,ALL!G$2:G$341)&lt;&gt;"",_xlfn.XLOOKUP($C132,ALL!$C$2:$C$341,ALL!G$2:G$341),"")</f>
        <v/>
      </c>
      <c r="G132" s="70" t="str">
        <f>IF(_xlfn.XLOOKUP($C132,ALL!$C$2:$C$341,ALL!H$2:H$341)&lt;&gt;"",_xlfn.XLOOKUP($C132,ALL!$C$2:$C$341,ALL!H$2:H$341),"")</f>
        <v/>
      </c>
      <c r="H132" s="69" t="str">
        <f>IF(_xlfn.XLOOKUP($C132,ALL!$C$2:$C$341,ALL!I$2:I$341)&lt;&gt;"",_xlfn.XLOOKUP($C132,ALL!$C$2:$C$341,ALL!I$2:I$341),"")</f>
        <v/>
      </c>
      <c r="I132" s="69" t="str">
        <f>IF(_xlfn.XLOOKUP($C132,ALL!$C$2:$C$341,ALL!J$2:J$341)&lt;&gt;"",_xlfn.XLOOKUP($C132,ALL!$C$2:$C$341,ALL!J$2:J$341),"")</f>
        <v/>
      </c>
      <c r="J132" s="70" t="str">
        <f>IF(_xlfn.XLOOKUP($C132,ALL!$C$2:$C$341,ALL!K$2:K$341)&lt;&gt;"",_xlfn.XLOOKUP($C132,ALL!$C$2:$C$341,ALL!K$2:K$341),"")</f>
        <v/>
      </c>
      <c r="K132" s="4" t="str">
        <f>IF(_xlfn.XLOOKUP($C132,ALL!$C$2:$C$341,ALL!L$2:L$341)&lt;&gt;"",_xlfn.XLOOKUP($C132,ALL!$C$2:$C$341,ALL!L$2:L$341),"")</f>
        <v/>
      </c>
      <c r="L132" s="4" t="str">
        <f>IF(_xlfn.XLOOKUP($C132,ALL!$C$2:$C$341,ALL!M$2:M$341)&lt;&gt;"",_xlfn.XLOOKUP($C132,ALL!$C$2:$C$341,ALL!M$2:M$341),"")</f>
        <v/>
      </c>
      <c r="M132" s="4" t="str">
        <f>IF(_xlfn.XLOOKUP($C132,ALL!$C$2:$C$341,ALL!N$2:N$341)&lt;&gt;"",_xlfn.XLOOKUP($C132,ALL!$C$2:$C$341,ALL!N$2:N$341),"")</f>
        <v/>
      </c>
    </row>
    <row r="133" spans="1:13" ht="19.2" customHeight="1" x14ac:dyDescent="0.3">
      <c r="A133" s="100" t="str">
        <f t="shared" si="2"/>
        <v/>
      </c>
      <c r="B133" s="94" t="str">
        <f>IF(_xlfn.XLOOKUP($C133,ALL!$C$2:$C$341,ALL!B$2:B$341)&lt;&gt;"",_xlfn.XLOOKUP($C133,ALL!$C$2:$C$341,ALL!B$2:B$341),"")</f>
        <v/>
      </c>
      <c r="D133" s="69" t="str">
        <f>IF(_xlfn.XLOOKUP($C133,ALL!$C$2:$C$341,ALL!D$2:D$341)&lt;&gt;"",_xlfn.XLOOKUP($C133,ALL!$C$2:$C$341,ALL!D$2:D$341),"")</f>
        <v/>
      </c>
      <c r="E133" s="69" t="str">
        <f>IF(_xlfn.XLOOKUP($C133,ALL!$C$2:$C$341,ALL!F$2:F$341)&lt;&gt;"",_xlfn.XLOOKUP($C133,ALL!$C$2:$C$341,ALL!F$2:F$341),"")</f>
        <v/>
      </c>
      <c r="F133" s="69" t="str">
        <f>IF(_xlfn.XLOOKUP($C133,ALL!$C$2:$C$341,ALL!G$2:G$341)&lt;&gt;"",_xlfn.XLOOKUP($C133,ALL!$C$2:$C$341,ALL!G$2:G$341),"")</f>
        <v/>
      </c>
      <c r="G133" s="70" t="str">
        <f>IF(_xlfn.XLOOKUP($C133,ALL!$C$2:$C$341,ALL!H$2:H$341)&lt;&gt;"",_xlfn.XLOOKUP($C133,ALL!$C$2:$C$341,ALL!H$2:H$341),"")</f>
        <v/>
      </c>
      <c r="H133" s="69" t="str">
        <f>IF(_xlfn.XLOOKUP($C133,ALL!$C$2:$C$341,ALL!I$2:I$341)&lt;&gt;"",_xlfn.XLOOKUP($C133,ALL!$C$2:$C$341,ALL!I$2:I$341),"")</f>
        <v/>
      </c>
      <c r="I133" s="69" t="str">
        <f>IF(_xlfn.XLOOKUP($C133,ALL!$C$2:$C$341,ALL!J$2:J$341)&lt;&gt;"",_xlfn.XLOOKUP($C133,ALL!$C$2:$C$341,ALL!J$2:J$341),"")</f>
        <v/>
      </c>
      <c r="J133" s="70" t="str">
        <f>IF(_xlfn.XLOOKUP($C133,ALL!$C$2:$C$341,ALL!K$2:K$341)&lt;&gt;"",_xlfn.XLOOKUP($C133,ALL!$C$2:$C$341,ALL!K$2:K$341),"")</f>
        <v/>
      </c>
      <c r="K133" s="4" t="str">
        <f>IF(_xlfn.XLOOKUP($C133,ALL!$C$2:$C$341,ALL!L$2:L$341)&lt;&gt;"",_xlfn.XLOOKUP($C133,ALL!$C$2:$C$341,ALL!L$2:L$341),"")</f>
        <v/>
      </c>
      <c r="L133" s="4" t="str">
        <f>IF(_xlfn.XLOOKUP($C133,ALL!$C$2:$C$341,ALL!M$2:M$341)&lt;&gt;"",_xlfn.XLOOKUP($C133,ALL!$C$2:$C$341,ALL!M$2:M$341),"")</f>
        <v/>
      </c>
      <c r="M133" s="4" t="str">
        <f>IF(_xlfn.XLOOKUP($C133,ALL!$C$2:$C$341,ALL!N$2:N$341)&lt;&gt;"",_xlfn.XLOOKUP($C133,ALL!$C$2:$C$341,ALL!N$2:N$341),"")</f>
        <v/>
      </c>
    </row>
    <row r="134" spans="1:13" ht="19.2" customHeight="1" x14ac:dyDescent="0.3">
      <c r="A134" s="100" t="str">
        <f t="shared" si="2"/>
        <v/>
      </c>
      <c r="B134" s="94" t="str">
        <f>IF(_xlfn.XLOOKUP($C134,ALL!$C$2:$C$341,ALL!B$2:B$341)&lt;&gt;"",_xlfn.XLOOKUP($C134,ALL!$C$2:$C$341,ALL!B$2:B$341),"")</f>
        <v/>
      </c>
      <c r="D134" s="69" t="str">
        <f>IF(_xlfn.XLOOKUP($C134,ALL!$C$2:$C$341,ALL!D$2:D$341)&lt;&gt;"",_xlfn.XLOOKUP($C134,ALL!$C$2:$C$341,ALL!D$2:D$341),"")</f>
        <v/>
      </c>
      <c r="E134" s="69" t="str">
        <f>IF(_xlfn.XLOOKUP($C134,ALL!$C$2:$C$341,ALL!F$2:F$341)&lt;&gt;"",_xlfn.XLOOKUP($C134,ALL!$C$2:$C$341,ALL!F$2:F$341),"")</f>
        <v/>
      </c>
      <c r="F134" s="69" t="str">
        <f>IF(_xlfn.XLOOKUP($C134,ALL!$C$2:$C$341,ALL!G$2:G$341)&lt;&gt;"",_xlfn.XLOOKUP($C134,ALL!$C$2:$C$341,ALL!G$2:G$341),"")</f>
        <v/>
      </c>
      <c r="G134" s="70" t="str">
        <f>IF(_xlfn.XLOOKUP($C134,ALL!$C$2:$C$341,ALL!H$2:H$341)&lt;&gt;"",_xlfn.XLOOKUP($C134,ALL!$C$2:$C$341,ALL!H$2:H$341),"")</f>
        <v/>
      </c>
      <c r="H134" s="69" t="str">
        <f>IF(_xlfn.XLOOKUP($C134,ALL!$C$2:$C$341,ALL!I$2:I$341)&lt;&gt;"",_xlfn.XLOOKUP($C134,ALL!$C$2:$C$341,ALL!I$2:I$341),"")</f>
        <v/>
      </c>
      <c r="I134" s="69" t="str">
        <f>IF(_xlfn.XLOOKUP($C134,ALL!$C$2:$C$341,ALL!J$2:J$341)&lt;&gt;"",_xlfn.XLOOKUP($C134,ALL!$C$2:$C$341,ALL!J$2:J$341),"")</f>
        <v/>
      </c>
      <c r="J134" s="70" t="str">
        <f>IF(_xlfn.XLOOKUP($C134,ALL!$C$2:$C$341,ALL!K$2:K$341)&lt;&gt;"",_xlfn.XLOOKUP($C134,ALL!$C$2:$C$341,ALL!K$2:K$341),"")</f>
        <v/>
      </c>
      <c r="K134" s="4" t="str">
        <f>IF(_xlfn.XLOOKUP($C134,ALL!$C$2:$C$341,ALL!L$2:L$341)&lt;&gt;"",_xlfn.XLOOKUP($C134,ALL!$C$2:$C$341,ALL!L$2:L$341),"")</f>
        <v/>
      </c>
      <c r="L134" s="4" t="str">
        <f>IF(_xlfn.XLOOKUP($C134,ALL!$C$2:$C$341,ALL!M$2:M$341)&lt;&gt;"",_xlfn.XLOOKUP($C134,ALL!$C$2:$C$341,ALL!M$2:M$341),"")</f>
        <v/>
      </c>
      <c r="M134" s="4" t="str">
        <f>IF(_xlfn.XLOOKUP($C134,ALL!$C$2:$C$341,ALL!N$2:N$341)&lt;&gt;"",_xlfn.XLOOKUP($C134,ALL!$C$2:$C$341,ALL!N$2:N$341),"")</f>
        <v/>
      </c>
    </row>
    <row r="135" spans="1:13" ht="19.2" customHeight="1" x14ac:dyDescent="0.3">
      <c r="A135" s="100" t="str">
        <f t="shared" si="2"/>
        <v/>
      </c>
      <c r="B135" s="94" t="str">
        <f>IF(_xlfn.XLOOKUP($C135,ALL!$C$2:$C$341,ALL!B$2:B$341)&lt;&gt;"",_xlfn.XLOOKUP($C135,ALL!$C$2:$C$341,ALL!B$2:B$341),"")</f>
        <v/>
      </c>
      <c r="D135" s="69" t="str">
        <f>IF(_xlfn.XLOOKUP($C135,ALL!$C$2:$C$341,ALL!D$2:D$341)&lt;&gt;"",_xlfn.XLOOKUP($C135,ALL!$C$2:$C$341,ALL!D$2:D$341),"")</f>
        <v/>
      </c>
      <c r="E135" s="69" t="str">
        <f>IF(_xlfn.XLOOKUP($C135,ALL!$C$2:$C$341,ALL!F$2:F$341)&lt;&gt;"",_xlfn.XLOOKUP($C135,ALL!$C$2:$C$341,ALL!F$2:F$341),"")</f>
        <v/>
      </c>
      <c r="F135" s="69" t="str">
        <f>IF(_xlfn.XLOOKUP($C135,ALL!$C$2:$C$341,ALL!G$2:G$341)&lt;&gt;"",_xlfn.XLOOKUP($C135,ALL!$C$2:$C$341,ALL!G$2:G$341),"")</f>
        <v/>
      </c>
      <c r="G135" s="70" t="str">
        <f>IF(_xlfn.XLOOKUP($C135,ALL!$C$2:$C$341,ALL!H$2:H$341)&lt;&gt;"",_xlfn.XLOOKUP($C135,ALL!$C$2:$C$341,ALL!H$2:H$341),"")</f>
        <v/>
      </c>
      <c r="H135" s="69" t="str">
        <f>IF(_xlfn.XLOOKUP($C135,ALL!$C$2:$C$341,ALL!I$2:I$341)&lt;&gt;"",_xlfn.XLOOKUP($C135,ALL!$C$2:$C$341,ALL!I$2:I$341),"")</f>
        <v/>
      </c>
      <c r="I135" s="69" t="str">
        <f>IF(_xlfn.XLOOKUP($C135,ALL!$C$2:$C$341,ALL!J$2:J$341)&lt;&gt;"",_xlfn.XLOOKUP($C135,ALL!$C$2:$C$341,ALL!J$2:J$341),"")</f>
        <v/>
      </c>
      <c r="J135" s="70" t="str">
        <f>IF(_xlfn.XLOOKUP($C135,ALL!$C$2:$C$341,ALL!K$2:K$341)&lt;&gt;"",_xlfn.XLOOKUP($C135,ALL!$C$2:$C$341,ALL!K$2:K$341),"")</f>
        <v/>
      </c>
      <c r="K135" s="4" t="str">
        <f>IF(_xlfn.XLOOKUP($C135,ALL!$C$2:$C$341,ALL!L$2:L$341)&lt;&gt;"",_xlfn.XLOOKUP($C135,ALL!$C$2:$C$341,ALL!L$2:L$341),"")</f>
        <v/>
      </c>
      <c r="L135" s="4" t="str">
        <f>IF(_xlfn.XLOOKUP($C135,ALL!$C$2:$C$341,ALL!M$2:M$341)&lt;&gt;"",_xlfn.XLOOKUP($C135,ALL!$C$2:$C$341,ALL!M$2:M$341),"")</f>
        <v/>
      </c>
      <c r="M135" s="4" t="str">
        <f>IF(_xlfn.XLOOKUP($C135,ALL!$C$2:$C$341,ALL!N$2:N$341)&lt;&gt;"",_xlfn.XLOOKUP($C135,ALL!$C$2:$C$341,ALL!N$2:N$341),"")</f>
        <v/>
      </c>
    </row>
    <row r="136" spans="1:13" ht="19.2" customHeight="1" x14ac:dyDescent="0.3">
      <c r="A136" s="100" t="str">
        <f t="shared" si="2"/>
        <v/>
      </c>
      <c r="B136" s="94" t="str">
        <f>IF(_xlfn.XLOOKUP($C136,ALL!$C$2:$C$341,ALL!B$2:B$341)&lt;&gt;"",_xlfn.XLOOKUP($C136,ALL!$C$2:$C$341,ALL!B$2:B$341),"")</f>
        <v/>
      </c>
      <c r="D136" s="69" t="str">
        <f>IF(_xlfn.XLOOKUP($C136,ALL!$C$2:$C$341,ALL!D$2:D$341)&lt;&gt;"",_xlfn.XLOOKUP($C136,ALL!$C$2:$C$341,ALL!D$2:D$341),"")</f>
        <v/>
      </c>
      <c r="E136" s="69" t="str">
        <f>IF(_xlfn.XLOOKUP($C136,ALL!$C$2:$C$341,ALL!F$2:F$341)&lt;&gt;"",_xlfn.XLOOKUP($C136,ALL!$C$2:$C$341,ALL!F$2:F$341),"")</f>
        <v/>
      </c>
      <c r="F136" s="69" t="str">
        <f>IF(_xlfn.XLOOKUP($C136,ALL!$C$2:$C$341,ALL!G$2:G$341)&lt;&gt;"",_xlfn.XLOOKUP($C136,ALL!$C$2:$C$341,ALL!G$2:G$341),"")</f>
        <v/>
      </c>
      <c r="G136" s="70" t="str">
        <f>IF(_xlfn.XLOOKUP($C136,ALL!$C$2:$C$341,ALL!H$2:H$341)&lt;&gt;"",_xlfn.XLOOKUP($C136,ALL!$C$2:$C$341,ALL!H$2:H$341),"")</f>
        <v/>
      </c>
      <c r="H136" s="69" t="str">
        <f>IF(_xlfn.XLOOKUP($C136,ALL!$C$2:$C$341,ALL!I$2:I$341)&lt;&gt;"",_xlfn.XLOOKUP($C136,ALL!$C$2:$C$341,ALL!I$2:I$341),"")</f>
        <v/>
      </c>
      <c r="I136" s="69" t="str">
        <f>IF(_xlfn.XLOOKUP($C136,ALL!$C$2:$C$341,ALL!J$2:J$341)&lt;&gt;"",_xlfn.XLOOKUP($C136,ALL!$C$2:$C$341,ALL!J$2:J$341),"")</f>
        <v/>
      </c>
      <c r="J136" s="70" t="str">
        <f>IF(_xlfn.XLOOKUP($C136,ALL!$C$2:$C$341,ALL!K$2:K$341)&lt;&gt;"",_xlfn.XLOOKUP($C136,ALL!$C$2:$C$341,ALL!K$2:K$341),"")</f>
        <v/>
      </c>
      <c r="K136" s="4" t="str">
        <f>IF(_xlfn.XLOOKUP($C136,ALL!$C$2:$C$341,ALL!L$2:L$341)&lt;&gt;"",_xlfn.XLOOKUP($C136,ALL!$C$2:$C$341,ALL!L$2:L$341),"")</f>
        <v/>
      </c>
      <c r="L136" s="4" t="str">
        <f>IF(_xlfn.XLOOKUP($C136,ALL!$C$2:$C$341,ALL!M$2:M$341)&lt;&gt;"",_xlfn.XLOOKUP($C136,ALL!$C$2:$C$341,ALL!M$2:M$341),"")</f>
        <v/>
      </c>
      <c r="M136" s="4" t="str">
        <f>IF(_xlfn.XLOOKUP($C136,ALL!$C$2:$C$341,ALL!N$2:N$341)&lt;&gt;"",_xlfn.XLOOKUP($C136,ALL!$C$2:$C$341,ALL!N$2:N$341),"")</f>
        <v/>
      </c>
    </row>
    <row r="137" spans="1:13" ht="19.2" customHeight="1" x14ac:dyDescent="0.3">
      <c r="A137" s="100" t="str">
        <f t="shared" si="2"/>
        <v/>
      </c>
      <c r="B137" s="94" t="str">
        <f>IF(_xlfn.XLOOKUP($C137,ALL!$C$2:$C$341,ALL!B$2:B$341)&lt;&gt;"",_xlfn.XLOOKUP($C137,ALL!$C$2:$C$341,ALL!B$2:B$341),"")</f>
        <v/>
      </c>
      <c r="D137" s="69" t="str">
        <f>IF(_xlfn.XLOOKUP($C137,ALL!$C$2:$C$341,ALL!D$2:D$341)&lt;&gt;"",_xlfn.XLOOKUP($C137,ALL!$C$2:$C$341,ALL!D$2:D$341),"")</f>
        <v/>
      </c>
      <c r="E137" s="69" t="str">
        <f>IF(_xlfn.XLOOKUP($C137,ALL!$C$2:$C$341,ALL!F$2:F$341)&lt;&gt;"",_xlfn.XLOOKUP($C137,ALL!$C$2:$C$341,ALL!F$2:F$341),"")</f>
        <v/>
      </c>
      <c r="F137" s="69" t="str">
        <f>IF(_xlfn.XLOOKUP($C137,ALL!$C$2:$C$341,ALL!G$2:G$341)&lt;&gt;"",_xlfn.XLOOKUP($C137,ALL!$C$2:$C$341,ALL!G$2:G$341),"")</f>
        <v/>
      </c>
      <c r="G137" s="70" t="str">
        <f>IF(_xlfn.XLOOKUP($C137,ALL!$C$2:$C$341,ALL!H$2:H$341)&lt;&gt;"",_xlfn.XLOOKUP($C137,ALL!$C$2:$C$341,ALL!H$2:H$341),"")</f>
        <v/>
      </c>
      <c r="H137" s="69" t="str">
        <f>IF(_xlfn.XLOOKUP($C137,ALL!$C$2:$C$341,ALL!I$2:I$341)&lt;&gt;"",_xlfn.XLOOKUP($C137,ALL!$C$2:$C$341,ALL!I$2:I$341),"")</f>
        <v/>
      </c>
      <c r="I137" s="69" t="str">
        <f>IF(_xlfn.XLOOKUP($C137,ALL!$C$2:$C$341,ALL!J$2:J$341)&lt;&gt;"",_xlfn.XLOOKUP($C137,ALL!$C$2:$C$341,ALL!J$2:J$341),"")</f>
        <v/>
      </c>
      <c r="J137" s="70" t="str">
        <f>IF(_xlfn.XLOOKUP($C137,ALL!$C$2:$C$341,ALL!K$2:K$341)&lt;&gt;"",_xlfn.XLOOKUP($C137,ALL!$C$2:$C$341,ALL!K$2:K$341),"")</f>
        <v/>
      </c>
      <c r="K137" s="4" t="str">
        <f>IF(_xlfn.XLOOKUP($C137,ALL!$C$2:$C$341,ALL!L$2:L$341)&lt;&gt;"",_xlfn.XLOOKUP($C137,ALL!$C$2:$C$341,ALL!L$2:L$341),"")</f>
        <v/>
      </c>
      <c r="L137" s="4" t="str">
        <f>IF(_xlfn.XLOOKUP($C137,ALL!$C$2:$C$341,ALL!M$2:M$341)&lt;&gt;"",_xlfn.XLOOKUP($C137,ALL!$C$2:$C$341,ALL!M$2:M$341),"")</f>
        <v/>
      </c>
      <c r="M137" s="4" t="str">
        <f>IF(_xlfn.XLOOKUP($C137,ALL!$C$2:$C$341,ALL!N$2:N$341)&lt;&gt;"",_xlfn.XLOOKUP($C137,ALL!$C$2:$C$341,ALL!N$2:N$341),"")</f>
        <v/>
      </c>
    </row>
    <row r="138" spans="1:13" ht="19.2" customHeight="1" x14ac:dyDescent="0.3">
      <c r="A138" s="100" t="str">
        <f t="shared" si="2"/>
        <v/>
      </c>
      <c r="B138" s="94" t="str">
        <f>IF(_xlfn.XLOOKUP($C138,ALL!$C$2:$C$341,ALL!B$2:B$341)&lt;&gt;"",_xlfn.XLOOKUP($C138,ALL!$C$2:$C$341,ALL!B$2:B$341),"")</f>
        <v/>
      </c>
      <c r="D138" s="69" t="str">
        <f>IF(_xlfn.XLOOKUP($C138,ALL!$C$2:$C$341,ALL!D$2:D$341)&lt;&gt;"",_xlfn.XLOOKUP($C138,ALL!$C$2:$C$341,ALL!D$2:D$341),"")</f>
        <v/>
      </c>
      <c r="E138" s="69" t="str">
        <f>IF(_xlfn.XLOOKUP($C138,ALL!$C$2:$C$341,ALL!F$2:F$341)&lt;&gt;"",_xlfn.XLOOKUP($C138,ALL!$C$2:$C$341,ALL!F$2:F$341),"")</f>
        <v/>
      </c>
      <c r="F138" s="69" t="str">
        <f>IF(_xlfn.XLOOKUP($C138,ALL!$C$2:$C$341,ALL!G$2:G$341)&lt;&gt;"",_xlfn.XLOOKUP($C138,ALL!$C$2:$C$341,ALL!G$2:G$341),"")</f>
        <v/>
      </c>
      <c r="G138" s="70" t="str">
        <f>IF(_xlfn.XLOOKUP($C138,ALL!$C$2:$C$341,ALL!H$2:H$341)&lt;&gt;"",_xlfn.XLOOKUP($C138,ALL!$C$2:$C$341,ALL!H$2:H$341),"")</f>
        <v/>
      </c>
      <c r="H138" s="69" t="str">
        <f>IF(_xlfn.XLOOKUP($C138,ALL!$C$2:$C$341,ALL!I$2:I$341)&lt;&gt;"",_xlfn.XLOOKUP($C138,ALL!$C$2:$C$341,ALL!I$2:I$341),"")</f>
        <v/>
      </c>
      <c r="I138" s="69" t="str">
        <f>IF(_xlfn.XLOOKUP($C138,ALL!$C$2:$C$341,ALL!J$2:J$341)&lt;&gt;"",_xlfn.XLOOKUP($C138,ALL!$C$2:$C$341,ALL!J$2:J$341),"")</f>
        <v/>
      </c>
      <c r="J138" s="70" t="str">
        <f>IF(_xlfn.XLOOKUP($C138,ALL!$C$2:$C$341,ALL!K$2:K$341)&lt;&gt;"",_xlfn.XLOOKUP($C138,ALL!$C$2:$C$341,ALL!K$2:K$341),"")</f>
        <v/>
      </c>
      <c r="K138" s="4" t="str">
        <f>IF(_xlfn.XLOOKUP($C138,ALL!$C$2:$C$341,ALL!L$2:L$341)&lt;&gt;"",_xlfn.XLOOKUP($C138,ALL!$C$2:$C$341,ALL!L$2:L$341),"")</f>
        <v/>
      </c>
      <c r="L138" s="4" t="str">
        <f>IF(_xlfn.XLOOKUP($C138,ALL!$C$2:$C$341,ALL!M$2:M$341)&lt;&gt;"",_xlfn.XLOOKUP($C138,ALL!$C$2:$C$341,ALL!M$2:M$341),"")</f>
        <v/>
      </c>
      <c r="M138" s="4" t="str">
        <f>IF(_xlfn.XLOOKUP($C138,ALL!$C$2:$C$341,ALL!N$2:N$341)&lt;&gt;"",_xlfn.XLOOKUP($C138,ALL!$C$2:$C$341,ALL!N$2:N$341),"")</f>
        <v/>
      </c>
    </row>
    <row r="139" spans="1:13" ht="19.2" customHeight="1" x14ac:dyDescent="0.3">
      <c r="A139" s="100" t="str">
        <f t="shared" si="2"/>
        <v/>
      </c>
      <c r="B139" s="94" t="str">
        <f>IF(_xlfn.XLOOKUP($C139,ALL!$C$2:$C$341,ALL!B$2:B$341)&lt;&gt;"",_xlfn.XLOOKUP($C139,ALL!$C$2:$C$341,ALL!B$2:B$341),"")</f>
        <v/>
      </c>
      <c r="D139" s="69" t="str">
        <f>IF(_xlfn.XLOOKUP($C139,ALL!$C$2:$C$341,ALL!D$2:D$341)&lt;&gt;"",_xlfn.XLOOKUP($C139,ALL!$C$2:$C$341,ALL!D$2:D$341),"")</f>
        <v/>
      </c>
      <c r="E139" s="69" t="str">
        <f>IF(_xlfn.XLOOKUP($C139,ALL!$C$2:$C$341,ALL!F$2:F$341)&lt;&gt;"",_xlfn.XLOOKUP($C139,ALL!$C$2:$C$341,ALL!F$2:F$341),"")</f>
        <v/>
      </c>
      <c r="F139" s="69" t="str">
        <f>IF(_xlfn.XLOOKUP($C139,ALL!$C$2:$C$341,ALL!G$2:G$341)&lt;&gt;"",_xlfn.XLOOKUP($C139,ALL!$C$2:$C$341,ALL!G$2:G$341),"")</f>
        <v/>
      </c>
      <c r="G139" s="70" t="str">
        <f>IF(_xlfn.XLOOKUP($C139,ALL!$C$2:$C$341,ALL!H$2:H$341)&lt;&gt;"",_xlfn.XLOOKUP($C139,ALL!$C$2:$C$341,ALL!H$2:H$341),"")</f>
        <v/>
      </c>
      <c r="H139" s="69" t="str">
        <f>IF(_xlfn.XLOOKUP($C139,ALL!$C$2:$C$341,ALL!I$2:I$341)&lt;&gt;"",_xlfn.XLOOKUP($C139,ALL!$C$2:$C$341,ALL!I$2:I$341),"")</f>
        <v/>
      </c>
      <c r="I139" s="69" t="str">
        <f>IF(_xlfn.XLOOKUP($C139,ALL!$C$2:$C$341,ALL!J$2:J$341)&lt;&gt;"",_xlfn.XLOOKUP($C139,ALL!$C$2:$C$341,ALL!J$2:J$341),"")</f>
        <v/>
      </c>
      <c r="J139" s="70" t="str">
        <f>IF(_xlfn.XLOOKUP($C139,ALL!$C$2:$C$341,ALL!K$2:K$341)&lt;&gt;"",_xlfn.XLOOKUP($C139,ALL!$C$2:$C$341,ALL!K$2:K$341),"")</f>
        <v/>
      </c>
      <c r="K139" s="4" t="str">
        <f>IF(_xlfn.XLOOKUP($C139,ALL!$C$2:$C$341,ALL!L$2:L$341)&lt;&gt;"",_xlfn.XLOOKUP($C139,ALL!$C$2:$C$341,ALL!L$2:L$341),"")</f>
        <v/>
      </c>
      <c r="L139" s="4" t="str">
        <f>IF(_xlfn.XLOOKUP($C139,ALL!$C$2:$C$341,ALL!M$2:M$341)&lt;&gt;"",_xlfn.XLOOKUP($C139,ALL!$C$2:$C$341,ALL!M$2:M$341),"")</f>
        <v/>
      </c>
      <c r="M139" s="4" t="str">
        <f>IF(_xlfn.XLOOKUP($C139,ALL!$C$2:$C$341,ALL!N$2:N$341)&lt;&gt;"",_xlfn.XLOOKUP($C139,ALL!$C$2:$C$341,ALL!N$2:N$341),"")</f>
        <v/>
      </c>
    </row>
    <row r="140" spans="1:13" ht="19.2" customHeight="1" x14ac:dyDescent="0.3">
      <c r="A140" s="100" t="str">
        <f t="shared" ref="A140:A154" si="3">IF(C140="","",($A$1-G140)-365)</f>
        <v/>
      </c>
      <c r="B140" s="94" t="str">
        <f>IF(_xlfn.XLOOKUP($C140,ALL!$C$2:$C$341,ALL!B$2:B$341)&lt;&gt;"",_xlfn.XLOOKUP($C140,ALL!$C$2:$C$341,ALL!B$2:B$341),"")</f>
        <v/>
      </c>
      <c r="D140" s="69" t="str">
        <f>IF(_xlfn.XLOOKUP($C140,ALL!$C$2:$C$341,ALL!D$2:D$341)&lt;&gt;"",_xlfn.XLOOKUP($C140,ALL!$C$2:$C$341,ALL!D$2:D$341),"")</f>
        <v/>
      </c>
      <c r="E140" s="69" t="str">
        <f>IF(_xlfn.XLOOKUP($C140,ALL!$C$2:$C$341,ALL!F$2:F$341)&lt;&gt;"",_xlfn.XLOOKUP($C140,ALL!$C$2:$C$341,ALL!F$2:F$341),"")</f>
        <v/>
      </c>
      <c r="F140" s="69" t="str">
        <f>IF(_xlfn.XLOOKUP($C140,ALL!$C$2:$C$341,ALL!G$2:G$341)&lt;&gt;"",_xlfn.XLOOKUP($C140,ALL!$C$2:$C$341,ALL!G$2:G$341),"")</f>
        <v/>
      </c>
      <c r="G140" s="70" t="str">
        <f>IF(_xlfn.XLOOKUP($C140,ALL!$C$2:$C$341,ALL!H$2:H$341)&lt;&gt;"",_xlfn.XLOOKUP($C140,ALL!$C$2:$C$341,ALL!H$2:H$341),"")</f>
        <v/>
      </c>
      <c r="H140" s="69" t="str">
        <f>IF(_xlfn.XLOOKUP($C140,ALL!$C$2:$C$341,ALL!I$2:I$341)&lt;&gt;"",_xlfn.XLOOKUP($C140,ALL!$C$2:$C$341,ALL!I$2:I$341),"")</f>
        <v/>
      </c>
      <c r="I140" s="69" t="str">
        <f>IF(_xlfn.XLOOKUP($C140,ALL!$C$2:$C$341,ALL!J$2:J$341)&lt;&gt;"",_xlfn.XLOOKUP($C140,ALL!$C$2:$C$341,ALL!J$2:J$341),"")</f>
        <v/>
      </c>
      <c r="J140" s="70" t="str">
        <f>IF(_xlfn.XLOOKUP($C140,ALL!$C$2:$C$341,ALL!K$2:K$341)&lt;&gt;"",_xlfn.XLOOKUP($C140,ALL!$C$2:$C$341,ALL!K$2:K$341),"")</f>
        <v/>
      </c>
      <c r="K140" s="4" t="str">
        <f>IF(_xlfn.XLOOKUP($C140,ALL!$C$2:$C$341,ALL!L$2:L$341)&lt;&gt;"",_xlfn.XLOOKUP($C140,ALL!$C$2:$C$341,ALL!L$2:L$341),"")</f>
        <v/>
      </c>
      <c r="L140" s="4" t="str">
        <f>IF(_xlfn.XLOOKUP($C140,ALL!$C$2:$C$341,ALL!M$2:M$341)&lt;&gt;"",_xlfn.XLOOKUP($C140,ALL!$C$2:$C$341,ALL!M$2:M$341),"")</f>
        <v/>
      </c>
      <c r="M140" s="4" t="str">
        <f>IF(_xlfn.XLOOKUP($C140,ALL!$C$2:$C$341,ALL!N$2:N$341)&lt;&gt;"",_xlfn.XLOOKUP($C140,ALL!$C$2:$C$341,ALL!N$2:N$341),"")</f>
        <v/>
      </c>
    </row>
    <row r="141" spans="1:13" ht="19.2" customHeight="1" x14ac:dyDescent="0.3">
      <c r="A141" s="100" t="str">
        <f t="shared" si="3"/>
        <v/>
      </c>
      <c r="B141" s="94" t="str">
        <f>IF(_xlfn.XLOOKUP($C141,ALL!$C$2:$C$341,ALL!B$2:B$341)&lt;&gt;"",_xlfn.XLOOKUP($C141,ALL!$C$2:$C$341,ALL!B$2:B$341),"")</f>
        <v/>
      </c>
      <c r="D141" s="69" t="str">
        <f>IF(_xlfn.XLOOKUP($C141,ALL!$C$2:$C$341,ALL!D$2:D$341)&lt;&gt;"",_xlfn.XLOOKUP($C141,ALL!$C$2:$C$341,ALL!D$2:D$341),"")</f>
        <v/>
      </c>
      <c r="E141" s="69" t="str">
        <f>IF(_xlfn.XLOOKUP($C141,ALL!$C$2:$C$341,ALL!F$2:F$341)&lt;&gt;"",_xlfn.XLOOKUP($C141,ALL!$C$2:$C$341,ALL!F$2:F$341),"")</f>
        <v/>
      </c>
      <c r="F141" s="69" t="str">
        <f>IF(_xlfn.XLOOKUP($C141,ALL!$C$2:$C$341,ALL!G$2:G$341)&lt;&gt;"",_xlfn.XLOOKUP($C141,ALL!$C$2:$C$341,ALL!G$2:G$341),"")</f>
        <v/>
      </c>
      <c r="G141" s="70" t="str">
        <f>IF(_xlfn.XLOOKUP($C141,ALL!$C$2:$C$341,ALL!H$2:H$341)&lt;&gt;"",_xlfn.XLOOKUP($C141,ALL!$C$2:$C$341,ALL!H$2:H$341),"")</f>
        <v/>
      </c>
      <c r="H141" s="69" t="str">
        <f>IF(_xlfn.XLOOKUP($C141,ALL!$C$2:$C$341,ALL!I$2:I$341)&lt;&gt;"",_xlfn.XLOOKUP($C141,ALL!$C$2:$C$341,ALL!I$2:I$341),"")</f>
        <v/>
      </c>
      <c r="I141" s="69" t="str">
        <f>IF(_xlfn.XLOOKUP($C141,ALL!$C$2:$C$341,ALL!J$2:J$341)&lt;&gt;"",_xlfn.XLOOKUP($C141,ALL!$C$2:$C$341,ALL!J$2:J$341),"")</f>
        <v/>
      </c>
      <c r="J141" s="70" t="str">
        <f>IF(_xlfn.XLOOKUP($C141,ALL!$C$2:$C$341,ALL!K$2:K$341)&lt;&gt;"",_xlfn.XLOOKUP($C141,ALL!$C$2:$C$341,ALL!K$2:K$341),"")</f>
        <v/>
      </c>
      <c r="K141" s="4" t="str">
        <f>IF(_xlfn.XLOOKUP($C141,ALL!$C$2:$C$341,ALL!L$2:L$341)&lt;&gt;"",_xlfn.XLOOKUP($C141,ALL!$C$2:$C$341,ALL!L$2:L$341),"")</f>
        <v/>
      </c>
      <c r="L141" s="4" t="str">
        <f>IF(_xlfn.XLOOKUP($C141,ALL!$C$2:$C$341,ALL!M$2:M$341)&lt;&gt;"",_xlfn.XLOOKUP($C141,ALL!$C$2:$C$341,ALL!M$2:M$341),"")</f>
        <v/>
      </c>
      <c r="M141" s="4" t="str">
        <f>IF(_xlfn.XLOOKUP($C141,ALL!$C$2:$C$341,ALL!N$2:N$341)&lt;&gt;"",_xlfn.XLOOKUP($C141,ALL!$C$2:$C$341,ALL!N$2:N$341),"")</f>
        <v/>
      </c>
    </row>
    <row r="142" spans="1:13" ht="19.2" customHeight="1" x14ac:dyDescent="0.3">
      <c r="A142" s="100" t="str">
        <f t="shared" si="3"/>
        <v/>
      </c>
      <c r="B142" s="94" t="str">
        <f>IF(_xlfn.XLOOKUP($C142,ALL!$C$2:$C$341,ALL!B$2:B$341)&lt;&gt;"",_xlfn.XLOOKUP($C142,ALL!$C$2:$C$341,ALL!B$2:B$341),"")</f>
        <v/>
      </c>
      <c r="D142" s="69" t="str">
        <f>IF(_xlfn.XLOOKUP($C142,ALL!$C$2:$C$341,ALL!D$2:D$341)&lt;&gt;"",_xlfn.XLOOKUP($C142,ALL!$C$2:$C$341,ALL!D$2:D$341),"")</f>
        <v/>
      </c>
      <c r="E142" s="69" t="str">
        <f>IF(_xlfn.XLOOKUP($C142,ALL!$C$2:$C$341,ALL!F$2:F$341)&lt;&gt;"",_xlfn.XLOOKUP($C142,ALL!$C$2:$C$341,ALL!F$2:F$341),"")</f>
        <v/>
      </c>
      <c r="F142" s="69" t="str">
        <f>IF(_xlfn.XLOOKUP($C142,ALL!$C$2:$C$341,ALL!G$2:G$341)&lt;&gt;"",_xlfn.XLOOKUP($C142,ALL!$C$2:$C$341,ALL!G$2:G$341),"")</f>
        <v/>
      </c>
      <c r="G142" s="70" t="str">
        <f>IF(_xlfn.XLOOKUP($C142,ALL!$C$2:$C$341,ALL!H$2:H$341)&lt;&gt;"",_xlfn.XLOOKUP($C142,ALL!$C$2:$C$341,ALL!H$2:H$341),"")</f>
        <v/>
      </c>
      <c r="H142" s="69" t="str">
        <f>IF(_xlfn.XLOOKUP($C142,ALL!$C$2:$C$341,ALL!I$2:I$341)&lt;&gt;"",_xlfn.XLOOKUP($C142,ALL!$C$2:$C$341,ALL!I$2:I$341),"")</f>
        <v/>
      </c>
      <c r="I142" s="69" t="str">
        <f>IF(_xlfn.XLOOKUP($C142,ALL!$C$2:$C$341,ALL!J$2:J$341)&lt;&gt;"",_xlfn.XLOOKUP($C142,ALL!$C$2:$C$341,ALL!J$2:J$341),"")</f>
        <v/>
      </c>
      <c r="J142" s="70" t="str">
        <f>IF(_xlfn.XLOOKUP($C142,ALL!$C$2:$C$341,ALL!K$2:K$341)&lt;&gt;"",_xlfn.XLOOKUP($C142,ALL!$C$2:$C$341,ALL!K$2:K$341),"")</f>
        <v/>
      </c>
      <c r="K142" s="4" t="str">
        <f>IF(_xlfn.XLOOKUP($C142,ALL!$C$2:$C$341,ALL!L$2:L$341)&lt;&gt;"",_xlfn.XLOOKUP($C142,ALL!$C$2:$C$341,ALL!L$2:L$341),"")</f>
        <v/>
      </c>
      <c r="L142" s="4" t="str">
        <f>IF(_xlfn.XLOOKUP($C142,ALL!$C$2:$C$341,ALL!M$2:M$341)&lt;&gt;"",_xlfn.XLOOKUP($C142,ALL!$C$2:$C$341,ALL!M$2:M$341),"")</f>
        <v/>
      </c>
      <c r="M142" s="4" t="str">
        <f>IF(_xlfn.XLOOKUP($C142,ALL!$C$2:$C$341,ALL!N$2:N$341)&lt;&gt;"",_xlfn.XLOOKUP($C142,ALL!$C$2:$C$341,ALL!N$2:N$341),"")</f>
        <v/>
      </c>
    </row>
    <row r="143" spans="1:13" ht="19.2" customHeight="1" x14ac:dyDescent="0.3">
      <c r="A143" s="100" t="str">
        <f t="shared" si="3"/>
        <v/>
      </c>
      <c r="B143" s="94" t="str">
        <f>IF(_xlfn.XLOOKUP($C143,ALL!$C$2:$C$341,ALL!B$2:B$341)&lt;&gt;"",_xlfn.XLOOKUP($C143,ALL!$C$2:$C$341,ALL!B$2:B$341),"")</f>
        <v/>
      </c>
      <c r="D143" s="69" t="str">
        <f>IF(_xlfn.XLOOKUP($C143,ALL!$C$2:$C$341,ALL!D$2:D$341)&lt;&gt;"",_xlfn.XLOOKUP($C143,ALL!$C$2:$C$341,ALL!D$2:D$341),"")</f>
        <v/>
      </c>
      <c r="E143" s="69" t="str">
        <f>IF(_xlfn.XLOOKUP($C143,ALL!$C$2:$C$341,ALL!F$2:F$341)&lt;&gt;"",_xlfn.XLOOKUP($C143,ALL!$C$2:$C$341,ALL!F$2:F$341),"")</f>
        <v/>
      </c>
      <c r="F143" s="69" t="str">
        <f>IF(_xlfn.XLOOKUP($C143,ALL!$C$2:$C$341,ALL!G$2:G$341)&lt;&gt;"",_xlfn.XLOOKUP($C143,ALL!$C$2:$C$341,ALL!G$2:G$341),"")</f>
        <v/>
      </c>
      <c r="G143" s="70" t="str">
        <f>IF(_xlfn.XLOOKUP($C143,ALL!$C$2:$C$341,ALL!H$2:H$341)&lt;&gt;"",_xlfn.XLOOKUP($C143,ALL!$C$2:$C$341,ALL!H$2:H$341),"")</f>
        <v/>
      </c>
      <c r="H143" s="69" t="str">
        <f>IF(_xlfn.XLOOKUP($C143,ALL!$C$2:$C$341,ALL!I$2:I$341)&lt;&gt;"",_xlfn.XLOOKUP($C143,ALL!$C$2:$C$341,ALL!I$2:I$341),"")</f>
        <v/>
      </c>
      <c r="I143" s="69" t="str">
        <f>IF(_xlfn.XLOOKUP($C143,ALL!$C$2:$C$341,ALL!J$2:J$341)&lt;&gt;"",_xlfn.XLOOKUP($C143,ALL!$C$2:$C$341,ALL!J$2:J$341),"")</f>
        <v/>
      </c>
      <c r="J143" s="70" t="str">
        <f>IF(_xlfn.XLOOKUP($C143,ALL!$C$2:$C$341,ALL!K$2:K$341)&lt;&gt;"",_xlfn.XLOOKUP($C143,ALL!$C$2:$C$341,ALL!K$2:K$341),"")</f>
        <v/>
      </c>
      <c r="K143" s="4" t="str">
        <f>IF(_xlfn.XLOOKUP($C143,ALL!$C$2:$C$341,ALL!L$2:L$341)&lt;&gt;"",_xlfn.XLOOKUP($C143,ALL!$C$2:$C$341,ALL!L$2:L$341),"")</f>
        <v/>
      </c>
      <c r="L143" s="4" t="str">
        <f>IF(_xlfn.XLOOKUP($C143,ALL!$C$2:$C$341,ALL!M$2:M$341)&lt;&gt;"",_xlfn.XLOOKUP($C143,ALL!$C$2:$C$341,ALL!M$2:M$341),"")</f>
        <v/>
      </c>
      <c r="M143" s="4" t="str">
        <f>IF(_xlfn.XLOOKUP($C143,ALL!$C$2:$C$341,ALL!N$2:N$341)&lt;&gt;"",_xlfn.XLOOKUP($C143,ALL!$C$2:$C$341,ALL!N$2:N$341),"")</f>
        <v/>
      </c>
    </row>
    <row r="144" spans="1:13" ht="19.2" customHeight="1" x14ac:dyDescent="0.3">
      <c r="A144" s="100" t="str">
        <f t="shared" si="3"/>
        <v/>
      </c>
      <c r="B144" s="94" t="str">
        <f>IF(_xlfn.XLOOKUP($C144,ALL!$C$2:$C$341,ALL!B$2:B$341)&lt;&gt;"",_xlfn.XLOOKUP($C144,ALL!$C$2:$C$341,ALL!B$2:B$341),"")</f>
        <v/>
      </c>
      <c r="D144" s="69" t="str">
        <f>IF(_xlfn.XLOOKUP($C144,ALL!$C$2:$C$341,ALL!D$2:D$341)&lt;&gt;"",_xlfn.XLOOKUP($C144,ALL!$C$2:$C$341,ALL!D$2:D$341),"")</f>
        <v/>
      </c>
      <c r="E144" s="69" t="str">
        <f>IF(_xlfn.XLOOKUP($C144,ALL!$C$2:$C$341,ALL!F$2:F$341)&lt;&gt;"",_xlfn.XLOOKUP($C144,ALL!$C$2:$C$341,ALL!F$2:F$341),"")</f>
        <v/>
      </c>
      <c r="F144" s="69" t="str">
        <f>IF(_xlfn.XLOOKUP($C144,ALL!$C$2:$C$341,ALL!G$2:G$341)&lt;&gt;"",_xlfn.XLOOKUP($C144,ALL!$C$2:$C$341,ALL!G$2:G$341),"")</f>
        <v/>
      </c>
      <c r="G144" s="70" t="str">
        <f>IF(_xlfn.XLOOKUP($C144,ALL!$C$2:$C$341,ALL!H$2:H$341)&lt;&gt;"",_xlfn.XLOOKUP($C144,ALL!$C$2:$C$341,ALL!H$2:H$341),"")</f>
        <v/>
      </c>
      <c r="H144" s="69" t="str">
        <f>IF(_xlfn.XLOOKUP($C144,ALL!$C$2:$C$341,ALL!I$2:I$341)&lt;&gt;"",_xlfn.XLOOKUP($C144,ALL!$C$2:$C$341,ALL!I$2:I$341),"")</f>
        <v/>
      </c>
      <c r="I144" s="69" t="str">
        <f>IF(_xlfn.XLOOKUP($C144,ALL!$C$2:$C$341,ALL!J$2:J$341)&lt;&gt;"",_xlfn.XLOOKUP($C144,ALL!$C$2:$C$341,ALL!J$2:J$341),"")</f>
        <v/>
      </c>
      <c r="J144" s="70" t="str">
        <f>IF(_xlfn.XLOOKUP($C144,ALL!$C$2:$C$341,ALL!K$2:K$341)&lt;&gt;"",_xlfn.XLOOKUP($C144,ALL!$C$2:$C$341,ALL!K$2:K$341),"")</f>
        <v/>
      </c>
      <c r="K144" s="4" t="str">
        <f>IF(_xlfn.XLOOKUP($C144,ALL!$C$2:$C$341,ALL!L$2:L$341)&lt;&gt;"",_xlfn.XLOOKUP($C144,ALL!$C$2:$C$341,ALL!L$2:L$341),"")</f>
        <v/>
      </c>
      <c r="L144" s="4" t="str">
        <f>IF(_xlfn.XLOOKUP($C144,ALL!$C$2:$C$341,ALL!M$2:M$341)&lt;&gt;"",_xlfn.XLOOKUP($C144,ALL!$C$2:$C$341,ALL!M$2:M$341),"")</f>
        <v/>
      </c>
      <c r="M144" s="4" t="str">
        <f>IF(_xlfn.XLOOKUP($C144,ALL!$C$2:$C$341,ALL!N$2:N$341)&lt;&gt;"",_xlfn.XLOOKUP($C144,ALL!$C$2:$C$341,ALL!N$2:N$341),"")</f>
        <v/>
      </c>
    </row>
    <row r="145" spans="1:13" ht="19.2" customHeight="1" x14ac:dyDescent="0.3">
      <c r="A145" s="100" t="str">
        <f t="shared" si="3"/>
        <v/>
      </c>
      <c r="B145" s="94" t="str">
        <f>IF(_xlfn.XLOOKUP($C145,ALL!$C$2:$C$341,ALL!B$2:B$341)&lt;&gt;"",_xlfn.XLOOKUP($C145,ALL!$C$2:$C$341,ALL!B$2:B$341),"")</f>
        <v/>
      </c>
      <c r="D145" s="69" t="str">
        <f>IF(_xlfn.XLOOKUP($C145,ALL!$C$2:$C$341,ALL!D$2:D$341)&lt;&gt;"",_xlfn.XLOOKUP($C145,ALL!$C$2:$C$341,ALL!D$2:D$341),"")</f>
        <v/>
      </c>
      <c r="E145" s="69" t="str">
        <f>IF(_xlfn.XLOOKUP($C145,ALL!$C$2:$C$341,ALL!F$2:F$341)&lt;&gt;"",_xlfn.XLOOKUP($C145,ALL!$C$2:$C$341,ALL!F$2:F$341),"")</f>
        <v/>
      </c>
      <c r="F145" s="69" t="str">
        <f>IF(_xlfn.XLOOKUP($C145,ALL!$C$2:$C$341,ALL!G$2:G$341)&lt;&gt;"",_xlfn.XLOOKUP($C145,ALL!$C$2:$C$341,ALL!G$2:G$341),"")</f>
        <v/>
      </c>
      <c r="G145" s="70" t="str">
        <f>IF(_xlfn.XLOOKUP($C145,ALL!$C$2:$C$341,ALL!H$2:H$341)&lt;&gt;"",_xlfn.XLOOKUP($C145,ALL!$C$2:$C$341,ALL!H$2:H$341),"")</f>
        <v/>
      </c>
      <c r="H145" s="69" t="str">
        <f>IF(_xlfn.XLOOKUP($C145,ALL!$C$2:$C$341,ALL!I$2:I$341)&lt;&gt;"",_xlfn.XLOOKUP($C145,ALL!$C$2:$C$341,ALL!I$2:I$341),"")</f>
        <v/>
      </c>
      <c r="I145" s="69" t="str">
        <f>IF(_xlfn.XLOOKUP($C145,ALL!$C$2:$C$341,ALL!J$2:J$341)&lt;&gt;"",_xlfn.XLOOKUP($C145,ALL!$C$2:$C$341,ALL!J$2:J$341),"")</f>
        <v/>
      </c>
      <c r="J145" s="70" t="str">
        <f>IF(_xlfn.XLOOKUP($C145,ALL!$C$2:$C$341,ALL!K$2:K$341)&lt;&gt;"",_xlfn.XLOOKUP($C145,ALL!$C$2:$C$341,ALL!K$2:K$341),"")</f>
        <v/>
      </c>
      <c r="K145" s="4" t="str">
        <f>IF(_xlfn.XLOOKUP($C145,ALL!$C$2:$C$341,ALL!L$2:L$341)&lt;&gt;"",_xlfn.XLOOKUP($C145,ALL!$C$2:$C$341,ALL!L$2:L$341),"")</f>
        <v/>
      </c>
      <c r="L145" s="4" t="str">
        <f>IF(_xlfn.XLOOKUP($C145,ALL!$C$2:$C$341,ALL!M$2:M$341)&lt;&gt;"",_xlfn.XLOOKUP($C145,ALL!$C$2:$C$341,ALL!M$2:M$341),"")</f>
        <v/>
      </c>
      <c r="M145" s="4" t="str">
        <f>IF(_xlfn.XLOOKUP($C145,ALL!$C$2:$C$341,ALL!N$2:N$341)&lt;&gt;"",_xlfn.XLOOKUP($C145,ALL!$C$2:$C$341,ALL!N$2:N$341),"")</f>
        <v/>
      </c>
    </row>
    <row r="146" spans="1:13" ht="19.2" customHeight="1" x14ac:dyDescent="0.3">
      <c r="A146" s="100" t="str">
        <f t="shared" si="3"/>
        <v/>
      </c>
      <c r="B146" s="94" t="str">
        <f>IF(_xlfn.XLOOKUP($C146,ALL!$C$2:$C$341,ALL!B$2:B$341)&lt;&gt;"",_xlfn.XLOOKUP($C146,ALL!$C$2:$C$341,ALL!B$2:B$341),"")</f>
        <v/>
      </c>
      <c r="D146" s="69" t="str">
        <f>IF(_xlfn.XLOOKUP($C146,ALL!$C$2:$C$341,ALL!D$2:D$341)&lt;&gt;"",_xlfn.XLOOKUP($C146,ALL!$C$2:$C$341,ALL!D$2:D$341),"")</f>
        <v/>
      </c>
      <c r="E146" s="69" t="str">
        <f>IF(_xlfn.XLOOKUP($C146,ALL!$C$2:$C$341,ALL!F$2:F$341)&lt;&gt;"",_xlfn.XLOOKUP($C146,ALL!$C$2:$C$341,ALL!F$2:F$341),"")</f>
        <v/>
      </c>
      <c r="F146" s="69" t="str">
        <f>IF(_xlfn.XLOOKUP($C146,ALL!$C$2:$C$341,ALL!G$2:G$341)&lt;&gt;"",_xlfn.XLOOKUP($C146,ALL!$C$2:$C$341,ALL!G$2:G$341),"")</f>
        <v/>
      </c>
      <c r="G146" s="70" t="str">
        <f>IF(_xlfn.XLOOKUP($C146,ALL!$C$2:$C$341,ALL!H$2:H$341)&lt;&gt;"",_xlfn.XLOOKUP($C146,ALL!$C$2:$C$341,ALL!H$2:H$341),"")</f>
        <v/>
      </c>
      <c r="H146" s="69" t="str">
        <f>IF(_xlfn.XLOOKUP($C146,ALL!$C$2:$C$341,ALL!I$2:I$341)&lt;&gt;"",_xlfn.XLOOKUP($C146,ALL!$C$2:$C$341,ALL!I$2:I$341),"")</f>
        <v/>
      </c>
      <c r="I146" s="69" t="str">
        <f>IF(_xlfn.XLOOKUP($C146,ALL!$C$2:$C$341,ALL!J$2:J$341)&lt;&gt;"",_xlfn.XLOOKUP($C146,ALL!$C$2:$C$341,ALL!J$2:J$341),"")</f>
        <v/>
      </c>
      <c r="J146" s="70" t="str">
        <f>IF(_xlfn.XLOOKUP($C146,ALL!$C$2:$C$341,ALL!K$2:K$341)&lt;&gt;"",_xlfn.XLOOKUP($C146,ALL!$C$2:$C$341,ALL!K$2:K$341),"")</f>
        <v/>
      </c>
      <c r="K146" s="4" t="str">
        <f>IF(_xlfn.XLOOKUP($C146,ALL!$C$2:$C$341,ALL!L$2:L$341)&lt;&gt;"",_xlfn.XLOOKUP($C146,ALL!$C$2:$C$341,ALL!L$2:L$341),"")</f>
        <v/>
      </c>
      <c r="L146" s="4" t="str">
        <f>IF(_xlfn.XLOOKUP($C146,ALL!$C$2:$C$341,ALL!M$2:M$341)&lt;&gt;"",_xlfn.XLOOKUP($C146,ALL!$C$2:$C$341,ALL!M$2:M$341),"")</f>
        <v/>
      </c>
      <c r="M146" s="4" t="str">
        <f>IF(_xlfn.XLOOKUP($C146,ALL!$C$2:$C$341,ALL!N$2:N$341)&lt;&gt;"",_xlfn.XLOOKUP($C146,ALL!$C$2:$C$341,ALL!N$2:N$341),"")</f>
        <v/>
      </c>
    </row>
    <row r="147" spans="1:13" ht="19.2" customHeight="1" x14ac:dyDescent="0.3">
      <c r="A147" s="100" t="str">
        <f t="shared" si="3"/>
        <v/>
      </c>
      <c r="B147" s="94" t="str">
        <f>IF(_xlfn.XLOOKUP($C147,ALL!$C$2:$C$341,ALL!B$2:B$341)&lt;&gt;"",_xlfn.XLOOKUP($C147,ALL!$C$2:$C$341,ALL!B$2:B$341),"")</f>
        <v/>
      </c>
      <c r="D147" s="69" t="str">
        <f>IF(_xlfn.XLOOKUP($C147,ALL!$C$2:$C$341,ALL!D$2:D$341)&lt;&gt;"",_xlfn.XLOOKUP($C147,ALL!$C$2:$C$341,ALL!D$2:D$341),"")</f>
        <v/>
      </c>
      <c r="E147" s="69" t="str">
        <f>IF(_xlfn.XLOOKUP($C147,ALL!$C$2:$C$341,ALL!F$2:F$341)&lt;&gt;"",_xlfn.XLOOKUP($C147,ALL!$C$2:$C$341,ALL!F$2:F$341),"")</f>
        <v/>
      </c>
      <c r="F147" s="69" t="str">
        <f>IF(_xlfn.XLOOKUP($C147,ALL!$C$2:$C$341,ALL!G$2:G$341)&lt;&gt;"",_xlfn.XLOOKUP($C147,ALL!$C$2:$C$341,ALL!G$2:G$341),"")</f>
        <v/>
      </c>
      <c r="G147" s="70" t="str">
        <f>IF(_xlfn.XLOOKUP($C147,ALL!$C$2:$C$341,ALL!H$2:H$341)&lt;&gt;"",_xlfn.XLOOKUP($C147,ALL!$C$2:$C$341,ALL!H$2:H$341),"")</f>
        <v/>
      </c>
      <c r="H147" s="69" t="str">
        <f>IF(_xlfn.XLOOKUP($C147,ALL!$C$2:$C$341,ALL!I$2:I$341)&lt;&gt;"",_xlfn.XLOOKUP($C147,ALL!$C$2:$C$341,ALL!I$2:I$341),"")</f>
        <v/>
      </c>
      <c r="I147" s="69" t="str">
        <f>IF(_xlfn.XLOOKUP($C147,ALL!$C$2:$C$341,ALL!J$2:J$341)&lt;&gt;"",_xlfn.XLOOKUP($C147,ALL!$C$2:$C$341,ALL!J$2:J$341),"")</f>
        <v/>
      </c>
      <c r="J147" s="70" t="str">
        <f>IF(_xlfn.XLOOKUP($C147,ALL!$C$2:$C$341,ALL!K$2:K$341)&lt;&gt;"",_xlfn.XLOOKUP($C147,ALL!$C$2:$C$341,ALL!K$2:K$341),"")</f>
        <v/>
      </c>
      <c r="K147" s="4" t="str">
        <f>IF(_xlfn.XLOOKUP($C147,ALL!$C$2:$C$341,ALL!L$2:L$341)&lt;&gt;"",_xlfn.XLOOKUP($C147,ALL!$C$2:$C$341,ALL!L$2:L$341),"")</f>
        <v/>
      </c>
      <c r="L147" s="4" t="str">
        <f>IF(_xlfn.XLOOKUP($C147,ALL!$C$2:$C$341,ALL!M$2:M$341)&lt;&gt;"",_xlfn.XLOOKUP($C147,ALL!$C$2:$C$341,ALL!M$2:M$341),"")</f>
        <v/>
      </c>
      <c r="M147" s="4" t="str">
        <f>IF(_xlfn.XLOOKUP($C147,ALL!$C$2:$C$341,ALL!N$2:N$341)&lt;&gt;"",_xlfn.XLOOKUP($C147,ALL!$C$2:$C$341,ALL!N$2:N$341),"")</f>
        <v/>
      </c>
    </row>
    <row r="148" spans="1:13" ht="19.2" customHeight="1" x14ac:dyDescent="0.3">
      <c r="A148" s="100" t="str">
        <f t="shared" si="3"/>
        <v/>
      </c>
      <c r="B148" s="94" t="str">
        <f>IF(_xlfn.XLOOKUP($C148,ALL!$C$2:$C$341,ALL!B$2:B$341)&lt;&gt;"",_xlfn.XLOOKUP($C148,ALL!$C$2:$C$341,ALL!B$2:B$341),"")</f>
        <v/>
      </c>
      <c r="D148" s="69" t="str">
        <f>IF(_xlfn.XLOOKUP($C148,ALL!$C$2:$C$341,ALL!D$2:D$341)&lt;&gt;"",_xlfn.XLOOKUP($C148,ALL!$C$2:$C$341,ALL!D$2:D$341),"")</f>
        <v/>
      </c>
      <c r="E148" s="69" t="str">
        <f>IF(_xlfn.XLOOKUP($C148,ALL!$C$2:$C$341,ALL!F$2:F$341)&lt;&gt;"",_xlfn.XLOOKUP($C148,ALL!$C$2:$C$341,ALL!F$2:F$341),"")</f>
        <v/>
      </c>
      <c r="F148" s="69" t="str">
        <f>IF(_xlfn.XLOOKUP($C148,ALL!$C$2:$C$341,ALL!G$2:G$341)&lt;&gt;"",_xlfn.XLOOKUP($C148,ALL!$C$2:$C$341,ALL!G$2:G$341),"")</f>
        <v/>
      </c>
      <c r="G148" s="70" t="str">
        <f>IF(_xlfn.XLOOKUP($C148,ALL!$C$2:$C$341,ALL!H$2:H$341)&lt;&gt;"",_xlfn.XLOOKUP($C148,ALL!$C$2:$C$341,ALL!H$2:H$341),"")</f>
        <v/>
      </c>
      <c r="H148" s="69" t="str">
        <f>IF(_xlfn.XLOOKUP($C148,ALL!$C$2:$C$341,ALL!I$2:I$341)&lt;&gt;"",_xlfn.XLOOKUP($C148,ALL!$C$2:$C$341,ALL!I$2:I$341),"")</f>
        <v/>
      </c>
      <c r="I148" s="69" t="str">
        <f>IF(_xlfn.XLOOKUP($C148,ALL!$C$2:$C$341,ALL!J$2:J$341)&lt;&gt;"",_xlfn.XLOOKUP($C148,ALL!$C$2:$C$341,ALL!J$2:J$341),"")</f>
        <v/>
      </c>
      <c r="J148" s="70" t="str">
        <f>IF(_xlfn.XLOOKUP($C148,ALL!$C$2:$C$341,ALL!K$2:K$341)&lt;&gt;"",_xlfn.XLOOKUP($C148,ALL!$C$2:$C$341,ALL!K$2:K$341),"")</f>
        <v/>
      </c>
      <c r="K148" s="4" t="str">
        <f>IF(_xlfn.XLOOKUP($C148,ALL!$C$2:$C$341,ALL!L$2:L$341)&lt;&gt;"",_xlfn.XLOOKUP($C148,ALL!$C$2:$C$341,ALL!L$2:L$341),"")</f>
        <v/>
      </c>
      <c r="L148" s="4" t="str">
        <f>IF(_xlfn.XLOOKUP($C148,ALL!$C$2:$C$341,ALL!M$2:M$341)&lt;&gt;"",_xlfn.XLOOKUP($C148,ALL!$C$2:$C$341,ALL!M$2:M$341),"")</f>
        <v/>
      </c>
      <c r="M148" s="4" t="str">
        <f>IF(_xlfn.XLOOKUP($C148,ALL!$C$2:$C$341,ALL!N$2:N$341)&lt;&gt;"",_xlfn.XLOOKUP($C148,ALL!$C$2:$C$341,ALL!N$2:N$341),"")</f>
        <v/>
      </c>
    </row>
    <row r="149" spans="1:13" ht="19.2" customHeight="1" x14ac:dyDescent="0.3">
      <c r="A149" s="100" t="str">
        <f t="shared" si="3"/>
        <v/>
      </c>
      <c r="B149" s="94" t="str">
        <f>IF(_xlfn.XLOOKUP($C149,ALL!$C$2:$C$341,ALL!B$2:B$341)&lt;&gt;"",_xlfn.XLOOKUP($C149,ALL!$C$2:$C$341,ALL!B$2:B$341),"")</f>
        <v/>
      </c>
      <c r="D149" s="69" t="str">
        <f>IF(_xlfn.XLOOKUP($C149,ALL!$C$2:$C$341,ALL!D$2:D$341)&lt;&gt;"",_xlfn.XLOOKUP($C149,ALL!$C$2:$C$341,ALL!D$2:D$341),"")</f>
        <v/>
      </c>
      <c r="E149" s="69" t="str">
        <f>IF(_xlfn.XLOOKUP($C149,ALL!$C$2:$C$341,ALL!F$2:F$341)&lt;&gt;"",_xlfn.XLOOKUP($C149,ALL!$C$2:$C$341,ALL!F$2:F$341),"")</f>
        <v/>
      </c>
      <c r="F149" s="69" t="str">
        <f>IF(_xlfn.XLOOKUP($C149,ALL!$C$2:$C$341,ALL!G$2:G$341)&lt;&gt;"",_xlfn.XLOOKUP($C149,ALL!$C$2:$C$341,ALL!G$2:G$341),"")</f>
        <v/>
      </c>
      <c r="G149" s="70" t="str">
        <f>IF(_xlfn.XLOOKUP($C149,ALL!$C$2:$C$341,ALL!H$2:H$341)&lt;&gt;"",_xlfn.XLOOKUP($C149,ALL!$C$2:$C$341,ALL!H$2:H$341),"")</f>
        <v/>
      </c>
      <c r="H149" s="69" t="str">
        <f>IF(_xlfn.XLOOKUP($C149,ALL!$C$2:$C$341,ALL!I$2:I$341)&lt;&gt;"",_xlfn.XLOOKUP($C149,ALL!$C$2:$C$341,ALL!I$2:I$341),"")</f>
        <v/>
      </c>
      <c r="I149" s="69" t="str">
        <f>IF(_xlfn.XLOOKUP($C149,ALL!$C$2:$C$341,ALL!J$2:J$341)&lt;&gt;"",_xlfn.XLOOKUP($C149,ALL!$C$2:$C$341,ALL!J$2:J$341),"")</f>
        <v/>
      </c>
      <c r="J149" s="70" t="str">
        <f>IF(_xlfn.XLOOKUP($C149,ALL!$C$2:$C$341,ALL!K$2:K$341)&lt;&gt;"",_xlfn.XLOOKUP($C149,ALL!$C$2:$C$341,ALL!K$2:K$341),"")</f>
        <v/>
      </c>
      <c r="K149" s="4" t="str">
        <f>IF(_xlfn.XLOOKUP($C149,ALL!$C$2:$C$341,ALL!L$2:L$341)&lt;&gt;"",_xlfn.XLOOKUP($C149,ALL!$C$2:$C$341,ALL!L$2:L$341),"")</f>
        <v/>
      </c>
      <c r="L149" s="4" t="str">
        <f>IF(_xlfn.XLOOKUP($C149,ALL!$C$2:$C$341,ALL!M$2:M$341)&lt;&gt;"",_xlfn.XLOOKUP($C149,ALL!$C$2:$C$341,ALL!M$2:M$341),"")</f>
        <v/>
      </c>
      <c r="M149" s="4" t="str">
        <f>IF(_xlfn.XLOOKUP($C149,ALL!$C$2:$C$341,ALL!N$2:N$341)&lt;&gt;"",_xlfn.XLOOKUP($C149,ALL!$C$2:$C$341,ALL!N$2:N$341),"")</f>
        <v/>
      </c>
    </row>
    <row r="150" spans="1:13" ht="19.2" customHeight="1" x14ac:dyDescent="0.3">
      <c r="A150" s="100" t="str">
        <f t="shared" si="3"/>
        <v/>
      </c>
      <c r="B150" s="94" t="str">
        <f>IF(_xlfn.XLOOKUP($C150,ALL!$C$2:$C$341,ALL!B$2:B$341)&lt;&gt;"",_xlfn.XLOOKUP($C150,ALL!$C$2:$C$341,ALL!B$2:B$341),"")</f>
        <v/>
      </c>
      <c r="D150" s="69" t="str">
        <f>IF(_xlfn.XLOOKUP($C150,ALL!$C$2:$C$341,ALL!D$2:D$341)&lt;&gt;"",_xlfn.XLOOKUP($C150,ALL!$C$2:$C$341,ALL!D$2:D$341),"")</f>
        <v/>
      </c>
      <c r="E150" s="69" t="str">
        <f>IF(_xlfn.XLOOKUP($C150,ALL!$C$2:$C$341,ALL!F$2:F$341)&lt;&gt;"",_xlfn.XLOOKUP($C150,ALL!$C$2:$C$341,ALL!F$2:F$341),"")</f>
        <v/>
      </c>
      <c r="F150" s="69" t="str">
        <f>IF(_xlfn.XLOOKUP($C150,ALL!$C$2:$C$341,ALL!G$2:G$341)&lt;&gt;"",_xlfn.XLOOKUP($C150,ALL!$C$2:$C$341,ALL!G$2:G$341),"")</f>
        <v/>
      </c>
      <c r="G150" s="70" t="str">
        <f>IF(_xlfn.XLOOKUP($C150,ALL!$C$2:$C$341,ALL!H$2:H$341)&lt;&gt;"",_xlfn.XLOOKUP($C150,ALL!$C$2:$C$341,ALL!H$2:H$341),"")</f>
        <v/>
      </c>
      <c r="H150" s="69" t="str">
        <f>IF(_xlfn.XLOOKUP($C150,ALL!$C$2:$C$341,ALL!I$2:I$341)&lt;&gt;"",_xlfn.XLOOKUP($C150,ALL!$C$2:$C$341,ALL!I$2:I$341),"")</f>
        <v/>
      </c>
      <c r="I150" s="69" t="str">
        <f>IF(_xlfn.XLOOKUP($C150,ALL!$C$2:$C$341,ALL!J$2:J$341)&lt;&gt;"",_xlfn.XLOOKUP($C150,ALL!$C$2:$C$341,ALL!J$2:J$341),"")</f>
        <v/>
      </c>
      <c r="J150" s="70" t="str">
        <f>IF(_xlfn.XLOOKUP($C150,ALL!$C$2:$C$341,ALL!K$2:K$341)&lt;&gt;"",_xlfn.XLOOKUP($C150,ALL!$C$2:$C$341,ALL!K$2:K$341),"")</f>
        <v/>
      </c>
      <c r="K150" s="4" t="str">
        <f>IF(_xlfn.XLOOKUP($C150,ALL!$C$2:$C$341,ALL!L$2:L$341)&lt;&gt;"",_xlfn.XLOOKUP($C150,ALL!$C$2:$C$341,ALL!L$2:L$341),"")</f>
        <v/>
      </c>
      <c r="L150" s="4" t="str">
        <f>IF(_xlfn.XLOOKUP($C150,ALL!$C$2:$C$341,ALL!M$2:M$341)&lt;&gt;"",_xlfn.XLOOKUP($C150,ALL!$C$2:$C$341,ALL!M$2:M$341),"")</f>
        <v/>
      </c>
      <c r="M150" s="4" t="str">
        <f>IF(_xlfn.XLOOKUP($C150,ALL!$C$2:$C$341,ALL!N$2:N$341)&lt;&gt;"",_xlfn.XLOOKUP($C150,ALL!$C$2:$C$341,ALL!N$2:N$341),"")</f>
        <v/>
      </c>
    </row>
    <row r="151" spans="1:13" ht="19.2" customHeight="1" x14ac:dyDescent="0.3">
      <c r="A151" s="100" t="str">
        <f t="shared" si="3"/>
        <v/>
      </c>
      <c r="B151" s="94" t="str">
        <f>IF(_xlfn.XLOOKUP($C151,ALL!$C$2:$C$341,ALL!B$2:B$341)&lt;&gt;"",_xlfn.XLOOKUP($C151,ALL!$C$2:$C$341,ALL!B$2:B$341),"")</f>
        <v/>
      </c>
      <c r="D151" s="69" t="str">
        <f>IF(_xlfn.XLOOKUP($C151,ALL!$C$2:$C$341,ALL!D$2:D$341)&lt;&gt;"",_xlfn.XLOOKUP($C151,ALL!$C$2:$C$341,ALL!D$2:D$341),"")</f>
        <v/>
      </c>
      <c r="E151" s="69" t="str">
        <f>IF(_xlfn.XLOOKUP($C151,ALL!$C$2:$C$341,ALL!F$2:F$341)&lt;&gt;"",_xlfn.XLOOKUP($C151,ALL!$C$2:$C$341,ALL!F$2:F$341),"")</f>
        <v/>
      </c>
      <c r="F151" s="69" t="str">
        <f>IF(_xlfn.XLOOKUP($C151,ALL!$C$2:$C$341,ALL!G$2:G$341)&lt;&gt;"",_xlfn.XLOOKUP($C151,ALL!$C$2:$C$341,ALL!G$2:G$341),"")</f>
        <v/>
      </c>
      <c r="G151" s="70" t="str">
        <f>IF(_xlfn.XLOOKUP($C151,ALL!$C$2:$C$341,ALL!H$2:H$341)&lt;&gt;"",_xlfn.XLOOKUP($C151,ALL!$C$2:$C$341,ALL!H$2:H$341),"")</f>
        <v/>
      </c>
      <c r="H151" s="69" t="str">
        <f>IF(_xlfn.XLOOKUP($C151,ALL!$C$2:$C$341,ALL!I$2:I$341)&lt;&gt;"",_xlfn.XLOOKUP($C151,ALL!$C$2:$C$341,ALL!I$2:I$341),"")</f>
        <v/>
      </c>
      <c r="I151" s="69" t="str">
        <f>IF(_xlfn.XLOOKUP($C151,ALL!$C$2:$C$341,ALL!J$2:J$341)&lt;&gt;"",_xlfn.XLOOKUP($C151,ALL!$C$2:$C$341,ALL!J$2:J$341),"")</f>
        <v/>
      </c>
      <c r="J151" s="70" t="str">
        <f>IF(_xlfn.XLOOKUP($C151,ALL!$C$2:$C$341,ALL!K$2:K$341)&lt;&gt;"",_xlfn.XLOOKUP($C151,ALL!$C$2:$C$341,ALL!K$2:K$341),"")</f>
        <v/>
      </c>
      <c r="K151" s="4" t="str">
        <f>IF(_xlfn.XLOOKUP($C151,ALL!$C$2:$C$341,ALL!L$2:L$341)&lt;&gt;"",_xlfn.XLOOKUP($C151,ALL!$C$2:$C$341,ALL!L$2:L$341),"")</f>
        <v/>
      </c>
      <c r="L151" s="4" t="str">
        <f>IF(_xlfn.XLOOKUP($C151,ALL!$C$2:$C$341,ALL!M$2:M$341)&lt;&gt;"",_xlfn.XLOOKUP($C151,ALL!$C$2:$C$341,ALL!M$2:M$341),"")</f>
        <v/>
      </c>
      <c r="M151" s="4" t="str">
        <f>IF(_xlfn.XLOOKUP($C151,ALL!$C$2:$C$341,ALL!N$2:N$341)&lt;&gt;"",_xlfn.XLOOKUP($C151,ALL!$C$2:$C$341,ALL!N$2:N$341),"")</f>
        <v/>
      </c>
    </row>
    <row r="152" spans="1:13" ht="19.2" customHeight="1" x14ac:dyDescent="0.3">
      <c r="A152" s="100" t="str">
        <f t="shared" si="3"/>
        <v/>
      </c>
      <c r="B152" s="94" t="str">
        <f>IF(_xlfn.XLOOKUP($C152,ALL!$C$2:$C$341,ALL!B$2:B$341)&lt;&gt;"",_xlfn.XLOOKUP($C152,ALL!$C$2:$C$341,ALL!B$2:B$341),"")</f>
        <v/>
      </c>
      <c r="D152" s="69" t="str">
        <f>IF(_xlfn.XLOOKUP($C152,ALL!$C$2:$C$341,ALL!D$2:D$341)&lt;&gt;"",_xlfn.XLOOKUP($C152,ALL!$C$2:$C$341,ALL!D$2:D$341),"")</f>
        <v/>
      </c>
      <c r="E152" s="69" t="str">
        <f>IF(_xlfn.XLOOKUP($C152,ALL!$C$2:$C$341,ALL!F$2:F$341)&lt;&gt;"",_xlfn.XLOOKUP($C152,ALL!$C$2:$C$341,ALL!F$2:F$341),"")</f>
        <v/>
      </c>
      <c r="F152" s="69" t="str">
        <f>IF(_xlfn.XLOOKUP($C152,ALL!$C$2:$C$341,ALL!G$2:G$341)&lt;&gt;"",_xlfn.XLOOKUP($C152,ALL!$C$2:$C$341,ALL!G$2:G$341),"")</f>
        <v/>
      </c>
      <c r="G152" s="70" t="str">
        <f>IF(_xlfn.XLOOKUP($C152,ALL!$C$2:$C$341,ALL!H$2:H$341)&lt;&gt;"",_xlfn.XLOOKUP($C152,ALL!$C$2:$C$341,ALL!H$2:H$341),"")</f>
        <v/>
      </c>
      <c r="H152" s="69" t="str">
        <f>IF(_xlfn.XLOOKUP($C152,ALL!$C$2:$C$341,ALL!I$2:I$341)&lt;&gt;"",_xlfn.XLOOKUP($C152,ALL!$C$2:$C$341,ALL!I$2:I$341),"")</f>
        <v/>
      </c>
      <c r="I152" s="69" t="str">
        <f>IF(_xlfn.XLOOKUP($C152,ALL!$C$2:$C$341,ALL!J$2:J$341)&lt;&gt;"",_xlfn.XLOOKUP($C152,ALL!$C$2:$C$341,ALL!J$2:J$341),"")</f>
        <v/>
      </c>
      <c r="J152" s="70" t="str">
        <f>IF(_xlfn.XLOOKUP($C152,ALL!$C$2:$C$341,ALL!K$2:K$341)&lt;&gt;"",_xlfn.XLOOKUP($C152,ALL!$C$2:$C$341,ALL!K$2:K$341),"")</f>
        <v/>
      </c>
      <c r="K152" s="4" t="str">
        <f>IF(_xlfn.XLOOKUP($C152,ALL!$C$2:$C$341,ALL!L$2:L$341)&lt;&gt;"",_xlfn.XLOOKUP($C152,ALL!$C$2:$C$341,ALL!L$2:L$341),"")</f>
        <v/>
      </c>
      <c r="L152" s="4" t="str">
        <f>IF(_xlfn.XLOOKUP($C152,ALL!$C$2:$C$341,ALL!M$2:M$341)&lt;&gt;"",_xlfn.XLOOKUP($C152,ALL!$C$2:$C$341,ALL!M$2:M$341),"")</f>
        <v/>
      </c>
      <c r="M152" s="4" t="str">
        <f>IF(_xlfn.XLOOKUP($C152,ALL!$C$2:$C$341,ALL!N$2:N$341)&lt;&gt;"",_xlfn.XLOOKUP($C152,ALL!$C$2:$C$341,ALL!N$2:N$341),"")</f>
        <v/>
      </c>
    </row>
    <row r="153" spans="1:13" ht="19.2" customHeight="1" x14ac:dyDescent="0.3">
      <c r="A153" s="100" t="str">
        <f t="shared" si="3"/>
        <v/>
      </c>
      <c r="B153" s="94" t="str">
        <f>IF(_xlfn.XLOOKUP($C153,ALL!$C$2:$C$341,ALL!B$2:B$341)&lt;&gt;"",_xlfn.XLOOKUP($C153,ALL!$C$2:$C$341,ALL!B$2:B$341),"")</f>
        <v/>
      </c>
      <c r="D153" s="69" t="str">
        <f>IF(_xlfn.XLOOKUP($C153,ALL!$C$2:$C$341,ALL!D$2:D$341)&lt;&gt;"",_xlfn.XLOOKUP($C153,ALL!$C$2:$C$341,ALL!D$2:D$341),"")</f>
        <v/>
      </c>
      <c r="E153" s="69" t="str">
        <f>IF(_xlfn.XLOOKUP($C153,ALL!$C$2:$C$341,ALL!F$2:F$341)&lt;&gt;"",_xlfn.XLOOKUP($C153,ALL!$C$2:$C$341,ALL!F$2:F$341),"")</f>
        <v/>
      </c>
      <c r="F153" s="69" t="str">
        <f>IF(_xlfn.XLOOKUP($C153,ALL!$C$2:$C$341,ALL!G$2:G$341)&lt;&gt;"",_xlfn.XLOOKUP($C153,ALL!$C$2:$C$341,ALL!G$2:G$341),"")</f>
        <v/>
      </c>
      <c r="G153" s="70" t="str">
        <f>IF(_xlfn.XLOOKUP($C153,ALL!$C$2:$C$341,ALL!H$2:H$341)&lt;&gt;"",_xlfn.XLOOKUP($C153,ALL!$C$2:$C$341,ALL!H$2:H$341),"")</f>
        <v/>
      </c>
      <c r="H153" s="69" t="str">
        <f>IF(_xlfn.XLOOKUP($C153,ALL!$C$2:$C$341,ALL!I$2:I$341)&lt;&gt;"",_xlfn.XLOOKUP($C153,ALL!$C$2:$C$341,ALL!I$2:I$341),"")</f>
        <v/>
      </c>
      <c r="I153" s="69" t="str">
        <f>IF(_xlfn.XLOOKUP($C153,ALL!$C$2:$C$341,ALL!J$2:J$341)&lt;&gt;"",_xlfn.XLOOKUP($C153,ALL!$C$2:$C$341,ALL!J$2:J$341),"")</f>
        <v/>
      </c>
      <c r="J153" s="70" t="str">
        <f>IF(_xlfn.XLOOKUP($C153,ALL!$C$2:$C$341,ALL!K$2:K$341)&lt;&gt;"",_xlfn.XLOOKUP($C153,ALL!$C$2:$C$341,ALL!K$2:K$341),"")</f>
        <v/>
      </c>
      <c r="K153" s="4" t="str">
        <f>IF(_xlfn.XLOOKUP($C153,ALL!$C$2:$C$341,ALL!L$2:L$341)&lt;&gt;"",_xlfn.XLOOKUP($C153,ALL!$C$2:$C$341,ALL!L$2:L$341),"")</f>
        <v/>
      </c>
      <c r="L153" s="4" t="str">
        <f>IF(_xlfn.XLOOKUP($C153,ALL!$C$2:$C$341,ALL!M$2:M$341)&lt;&gt;"",_xlfn.XLOOKUP($C153,ALL!$C$2:$C$341,ALL!M$2:M$341),"")</f>
        <v/>
      </c>
      <c r="M153" s="4" t="str">
        <f>IF(_xlfn.XLOOKUP($C153,ALL!$C$2:$C$341,ALL!N$2:N$341)&lt;&gt;"",_xlfn.XLOOKUP($C153,ALL!$C$2:$C$341,ALL!N$2:N$341),"")</f>
        <v/>
      </c>
    </row>
    <row r="154" spans="1:13" ht="19.2" customHeight="1" x14ac:dyDescent="0.3">
      <c r="A154" s="100" t="str">
        <f t="shared" si="3"/>
        <v/>
      </c>
      <c r="B154" s="94" t="str">
        <f>IF(_xlfn.XLOOKUP($C154,ALL!$C$2:$C$341,ALL!B$2:B$341)&lt;&gt;"",_xlfn.XLOOKUP($C154,ALL!$C$2:$C$341,ALL!B$2:B$341),"")</f>
        <v/>
      </c>
      <c r="D154" s="69" t="str">
        <f>IF(_xlfn.XLOOKUP($C154,ALL!$C$2:$C$341,ALL!D$2:D$341)&lt;&gt;"",_xlfn.XLOOKUP($C154,ALL!$C$2:$C$341,ALL!D$2:D$341),"")</f>
        <v/>
      </c>
      <c r="E154" s="69" t="str">
        <f>IF(_xlfn.XLOOKUP($C154,ALL!$C$2:$C$341,ALL!F$2:F$341)&lt;&gt;"",_xlfn.XLOOKUP($C154,ALL!$C$2:$C$341,ALL!F$2:F$341),"")</f>
        <v/>
      </c>
      <c r="F154" s="69" t="str">
        <f>IF(_xlfn.XLOOKUP($C154,ALL!$C$2:$C$341,ALL!G$2:G$341)&lt;&gt;"",_xlfn.XLOOKUP($C154,ALL!$C$2:$C$341,ALL!G$2:G$341),"")</f>
        <v/>
      </c>
      <c r="G154" s="70" t="str">
        <f>IF(_xlfn.XLOOKUP($C154,ALL!$C$2:$C$341,ALL!H$2:H$341)&lt;&gt;"",_xlfn.XLOOKUP($C154,ALL!$C$2:$C$341,ALL!H$2:H$341),"")</f>
        <v/>
      </c>
      <c r="H154" s="69" t="str">
        <f>IF(_xlfn.XLOOKUP($C154,ALL!$C$2:$C$341,ALL!I$2:I$341)&lt;&gt;"",_xlfn.XLOOKUP($C154,ALL!$C$2:$C$341,ALL!I$2:I$341),"")</f>
        <v/>
      </c>
      <c r="I154" s="69" t="str">
        <f>IF(_xlfn.XLOOKUP($C154,ALL!$C$2:$C$341,ALL!J$2:J$341)&lt;&gt;"",_xlfn.XLOOKUP($C154,ALL!$C$2:$C$341,ALL!J$2:J$341),"")</f>
        <v/>
      </c>
      <c r="J154" s="70" t="str">
        <f>IF(_xlfn.XLOOKUP($C154,ALL!$C$2:$C$341,ALL!K$2:K$341)&lt;&gt;"",_xlfn.XLOOKUP($C154,ALL!$C$2:$C$341,ALL!K$2:K$341),"")</f>
        <v/>
      </c>
      <c r="K154" s="4" t="str">
        <f>IF(_xlfn.XLOOKUP($C154,ALL!$C$2:$C$341,ALL!L$2:L$341)&lt;&gt;"",_xlfn.XLOOKUP($C154,ALL!$C$2:$C$341,ALL!L$2:L$341),"")</f>
        <v/>
      </c>
      <c r="L154" s="4" t="str">
        <f>IF(_xlfn.XLOOKUP($C154,ALL!$C$2:$C$341,ALL!M$2:M$341)&lt;&gt;"",_xlfn.XLOOKUP($C154,ALL!$C$2:$C$341,ALL!M$2:M$341),"")</f>
        <v/>
      </c>
      <c r="M154" s="4" t="str">
        <f>IF(_xlfn.XLOOKUP($C154,ALL!$C$2:$C$341,ALL!N$2:N$341)&lt;&gt;"",_xlfn.XLOOKUP($C154,ALL!$C$2:$C$341,ALL!N$2:N$341),"")</f>
        <v/>
      </c>
    </row>
  </sheetData>
  <autoFilter ref="A1:P1" xr:uid="{4344FED6-2A11-4BD4-B178-43011E64979C}">
    <sortState xmlns:xlrd2="http://schemas.microsoft.com/office/spreadsheetml/2017/richdata2" ref="A2:N154">
      <sortCondition ref="G1"/>
    </sortState>
  </autoFilter>
  <conditionalFormatting sqref="H1">
    <cfRule type="containsText" dxfId="1" priority="11" operator="containsText" text="BBB">
      <formula>NOT(ISERROR(SEARCH("BBB",H1)))</formula>
    </cfRule>
  </conditionalFormatting>
  <conditionalFormatting sqref="H12:H154">
    <cfRule type="containsText" dxfId="0" priority="2" operator="containsText" text="BBB">
      <formula>NOT(ISERROR(SEARCH("BBB",H12)))</formula>
    </cfRule>
  </conditionalFormatting>
  <dataValidations disablePrompts="1" count="2">
    <dataValidation type="list" allowBlank="1" showInputMessage="1" showErrorMessage="1" sqref="I12:I154" xr:uid="{181D9419-472F-4AE1-9A81-12BE111F47C6}">
      <formula1>$T$2:$T$18</formula1>
    </dataValidation>
    <dataValidation type="list" allowBlank="1" showInputMessage="1" showErrorMessage="1" sqref="H12:H154" xr:uid="{4DA9B3DF-6A39-4BDD-915D-083EB0E20393}">
      <formula1>$S$2:$S$12</formula1>
    </dataValidation>
  </dataValidations>
  <pageMargins left="1.0236220472440944" right="0.23622047244094491" top="0.74803149606299213" bottom="0.74803149606299213" header="0.31496062992125984" footer="0.31496062992125984"/>
  <pageSetup scale="3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ALL</vt:lpstr>
      <vt:lpstr>Sheet2</vt:lpstr>
      <vt:lpstr>NCD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Infomerics</dc:creator>
  <cp:keywords/>
  <dc:description/>
  <cp:lastModifiedBy>Pratham Daya</cp:lastModifiedBy>
  <cp:revision/>
  <cp:lastPrinted>2026-08-31T04:02:40Z</cp:lastPrinted>
  <dcterms:created xsi:type="dcterms:W3CDTF">2015-06-05T18:17:20Z</dcterms:created>
  <dcterms:modified xsi:type="dcterms:W3CDTF">2026-10-21T05:52:29Z</dcterms:modified>
  <cp:category/>
  <cp:contentStatus/>
</cp:coreProperties>
</file>